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ne Pager" sheetId="1" state="visible" r:id="rId3"/>
    <sheet name="Daten" sheetId="2" state="visible" r:id="rId4"/>
    <sheet name="Anleitung" sheetId="3" state="visible" r:id="rId5"/>
  </sheets>
  <definedNames>
    <definedName function="false" hidden="false" localSheetId="0" name="_xlnm.Print_Area" vbProcedure="false">'One Pager'!$A$1:$L$48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<sst xmlns="http://schemas.openxmlformats.org/spreadsheetml/2006/main" count="138" uniqueCount="121">
  <si>
    <t xml:space="preserve">Scrum Master:  Paul Wettering
Product Owner:  Fynn Barmwater   ·   Team:  Jonas Gebert
Report Nr. 1   ·   Sprint 1   ·   10.08. – 23.08.2026</t>
  </si>
  <si>
    <t xml:space="preserve">One Pager – Statusbericht 1  ·  Sprint 1</t>
  </si>
  <si>
    <t xml:space="preserve">Verteiler:
Prof. Dr.-Ing. B. Koeppen (Fachbetreuung)  |  Prof. Dr.-Ing. D. Pähler (Auftraggeber)  |  Projektteam</t>
  </si>
  <si>
    <t xml:space="preserve">Bachelorprojekt Metallguss für das FTT-Labor · Gruppe 1</t>
  </si>
  <si>
    <t xml:space="preserve">Zielsetzung Gesamtvorhaben:
Ein erprobter und dokumentierter Metallguss-Laborversuch für das FTT-Labor (3. Semester), in dem Studierende in zwei Laborvierteln (3 h) ein reales Bauteil mit mindestens einem Kern im Handformverfahren sicher herstellen.</t>
  </si>
  <si>
    <t xml:space="preserve">Aktueller Projektstatus</t>
  </si>
  <si>
    <t xml:space="preserve">Abschlusstermin:            04.10.2026
Statusbericht vom:         30.08.2026
Restlaufzeit:                    5 Wochen (Sprint 4 endet 27.09.2026)
Nächster Meilenstein:  Probeabguss bis 06.09.2026</t>
  </si>
  <si>
    <t xml:space="preserve">GELB
20 h Übertrag in Sprint 2,
AG-Einbindung 3,0 von 6</t>
  </si>
  <si>
    <t xml:space="preserve">Sprintziel</t>
  </si>
  <si>
    <t xml:space="preserve">Aufgaben erledigt</t>
  </si>
  <si>
    <t xml:space="preserve">Aufwand abgebaut</t>
  </si>
  <si>
    <t xml:space="preserve">Übertrag in Sprint 2</t>
  </si>
  <si>
    <t xml:space="preserve">Auslastung Sprint 1</t>
  </si>
  <si>
    <t xml:space="preserve">Weiches Kriterium</t>
  </si>
  <si>
    <t xml:space="preserve">3 von 3 Bedingungen</t>
  </si>
  <si>
    <t xml:space="preserve">11 von 12</t>
  </si>
  <si>
    <t xml:space="preserve">98 %  (143 / 146 h)</t>
  </si>
  <si>
    <t xml:space="preserve">grün (9-12 Ereign./Wo.)</t>
  </si>
  <si>
    <t xml:space="preserve">  Leistungsfortschritt - Burndown Sprint 1</t>
  </si>
  <si>
    <t xml:space="preserve">  Aktuelle Ergebnisse - Abschluss Sprint 1</t>
  </si>
  <si>
    <t xml:space="preserve">- Sprintziel in allen drei Bedingungen erreicht (Stand 23.08.2026).
- V-F1: reproduzierbare Sandrezeptur (Vogelsand + Speiseöl) dokumentiert.
- V-W1: Aufheizkurve und Gießtemperaturfenster für Reinzinn mit
   Thermoelement Typ K gemessen.
- Bauteil am 17.08. von Prof. Pähler freigegeben: Stehbuchse mit Fußplatte.
- Formkästen vermessen, Nabertherm-Ofen (5,5 kW) dokumentiert, Ausstattung
   Göpfert &lt;-&gt; FTT-Labor gegenübergestellt. GPM-Abgaben am 12.08. raus.</t>
  </si>
  <si>
    <t xml:space="preserve">  Besondere Hindernisse</t>
  </si>
  <si>
    <t xml:space="preserve">- Der bis zum 10.08. verfolgte Bauteilentwurf war nicht aushebbar - der
   Querschnitt nimmt mit dem Abstand zur Teilungsebene zu. Konstruktion bis
   zur Freigabe am 17.08. blockiert.
- Folge: parametrisches CAD-Modell (20 h) nicht abschließbar. Kein Teil-
   fortschritt abgebucht, die Aufgabe geht vollständig in Sprint 2.</t>
  </si>
  <si>
    <t xml:space="preserve">  Team-Management-Barometer (Skala 1-6)</t>
  </si>
  <si>
    <t xml:space="preserve">  Nächste Schritte - Sprint 2  (24.08. - 06.09.2026)</t>
  </si>
  <si>
    <t xml:space="preserve">Sprintziel: Modell, Kernkasten und Kern sind gefertigt, der erste Probeabguss ist gelaufen.
- CAD-Modell in zwei Pakete geteilt (Bauteil + Kern 12 h / Kernkasten + Modell 10 h),
   startet als erstes Arbeitspaket.
- Gefährdungsbeurteilung vorgezogen - Voraussetzung für die HAW-Freigabe.
- Vorversuche V-K1 (Kern), V-S1 (Schwindmaß), V-T1 (Trennmittel).</t>
  </si>
  <si>
    <t xml:space="preserve">  Aktuelle Risiken</t>
  </si>
  <si>
    <t xml:space="preserve">1  Transfer Göpfert -&gt; HAW: in Heide erprobte Rezeptur und Parameter gelten
     nicht automatisch am HAW-Ofen  (W 3 x H 3 = 9).
2  Formstoff ungeeignet oder von Charge zu Charge schwankend  (W 2 x H 3 = 6).
3  Gefährdungsbeurteilung zu spät -&gt; blockiert die Laborfreigabe.</t>
  </si>
  <si>
    <t xml:space="preserve">  Bearbeitete User Stories</t>
  </si>
  <si>
    <t xml:space="preserve">  Maßnahmen</t>
  </si>
  <si>
    <t xml:space="preserve">US</t>
  </si>
  <si>
    <t xml:space="preserve">Inhalt</t>
  </si>
  <si>
    <t xml:space="preserve">Status</t>
  </si>
  <si>
    <t xml:space="preserve">1  Bei jedem Vorversuch Ofentyp, Leistung, Tiegel, Absaugung und Werkzeuge festhalten
     und mit der Ausstattung im FTT-Labor abgleichen.                        (Jonas Gebert)
2  Rezeptur und Sandmarke im Versuchsskript festschreiben, Ölsand als Ersatz. (Fynn Barmwater)
3  Gefährdungsbeurteilung in Sprint 2 vorziehen, HAW-Vorlage und G1-G10.   (Paul Wettering)
4  Terminanfrage an den Auftraggeber ab sofort am ersten Sprinttag.           (Fynn Barmwater)</t>
  </si>
  <si>
    <t xml:space="preserve">US-04</t>
  </si>
  <si>
    <t xml:space="preserve">Form- und Kernsand nach fester Rezeptur ansetzen</t>
  </si>
  <si>
    <t xml:space="preserve">erfüllt (V-F1)</t>
  </si>
  <si>
    <t xml:space="preserve">US-05</t>
  </si>
  <si>
    <t xml:space="preserve">Gusswerkstoff mit Laborausstattung aufschmelzen</t>
  </si>
  <si>
    <t xml:space="preserve">erfüllt (V-W1)</t>
  </si>
  <si>
    <t xml:space="preserve">US-01</t>
  </si>
  <si>
    <t xml:space="preserve">Zweiteilige Form mit Kern selbst einformen</t>
  </si>
  <si>
    <t xml:space="preserve">in Arbeit – CAD offen</t>
  </si>
  <si>
    <t xml:space="preserve">Die übrigen drei User Stories (US-02, US-03, US-06) starten mit dem Probeabguss in Sprint 2/3.</t>
  </si>
  <si>
    <t xml:space="preserve">  Projektfortschritt (Ablaufplan Variante B)   -   heute: 30.08.2026</t>
  </si>
  <si>
    <t xml:space="preserve">Sprint 1   10.08. - 23.08.</t>
  </si>
  <si>
    <t xml:space="preserve">Sprint 2   24.08. - 06.09.</t>
  </si>
  <si>
    <t xml:space="preserve">Sprint 3   07.09. - 20.09.</t>
  </si>
  <si>
    <t xml:space="preserve">Sprint 4   21.09. - 27.09.</t>
  </si>
  <si>
    <t xml:space="preserve">Puffer &amp; Abgabe   28.09. - 04.10.</t>
  </si>
  <si>
    <t xml:space="preserve">abgeschlossen - Ziel erreicht</t>
  </si>
  <si>
    <t xml:space="preserve">läuft  &lt;- heute</t>
  </si>
  <si>
    <t xml:space="preserve">geplant</t>
  </si>
  <si>
    <t xml:space="preserve">Abgabe 04.10.2026</t>
  </si>
  <si>
    <t xml:space="preserve">Unterschrift Auftraggeber:in:   ______________________________</t>
  </si>
  <si>
    <t xml:space="preserve">Erstellt: Paul Wettering (Scrum Master)  -  Stand 30.08.2026  -  HAW Hamburg, Fakultät nachhaltige Ingenieurwissenschaften</t>
  </si>
  <si>
    <t xml:space="preserve">Datenblatt Burndown Sprint 1 - Restaufwand je Arbeitspaket [h]</t>
  </si>
  <si>
    <t xml:space="preserve">Quelle: Sprint-Backlog Sprint 1 (12 Aufgaben, 143 h) / Ist-Erhebung Team, Stand 27.08.2026. Prinzip: keine Teilabbuchung - eine Aufgabe steht bis zu ihrem Fertigstellungstag auf ihrem vollen Wert.</t>
  </si>
  <si>
    <t xml:space="preserve">Aufgabe</t>
  </si>
  <si>
    <t xml:space="preserve">10.08.</t>
  </si>
  <si>
    <t xml:space="preserve">11.08.</t>
  </si>
  <si>
    <t xml:space="preserve">12.08.</t>
  </si>
  <si>
    <t xml:space="preserve">13.08.</t>
  </si>
  <si>
    <t xml:space="preserve">14.08.</t>
  </si>
  <si>
    <t xml:space="preserve">15.08.</t>
  </si>
  <si>
    <t xml:space="preserve">16.08.</t>
  </si>
  <si>
    <t xml:space="preserve">17.08.</t>
  </si>
  <si>
    <t xml:space="preserve">18.08.</t>
  </si>
  <si>
    <t xml:space="preserve">19.08.</t>
  </si>
  <si>
    <t xml:space="preserve">20.08.</t>
  </si>
  <si>
    <t xml:space="preserve">21.08.</t>
  </si>
  <si>
    <t xml:space="preserve">22.08.</t>
  </si>
  <si>
    <t xml:space="preserve">23.08.</t>
  </si>
  <si>
    <t xml:space="preserve">Versuchsmaterial beschaffen (8h)</t>
  </si>
  <si>
    <t xml:space="preserve">Projektauftrag erstellen &amp; unterschreiben (10h)</t>
  </si>
  <si>
    <t xml:space="preserve">Ablaufplan erstellen &amp; einreichen (8h)</t>
  </si>
  <si>
    <t xml:space="preserve">Fachbuch Fritz/Schulze beschaffen (5h)</t>
  </si>
  <si>
    <t xml:space="preserve">Formkästen vermessen &amp; dokumentieren (10h)</t>
  </si>
  <si>
    <t xml:space="preserve">Abstimmungstermin Prof. Pähler (14h)</t>
  </si>
  <si>
    <t xml:space="preserve">Arbeitssicherheit &amp; Versicherung klären (8h)</t>
  </si>
  <si>
    <t xml:space="preserve">Nabertherm-Ofen dokumentieren (12h)</t>
  </si>
  <si>
    <t xml:space="preserve">Sandrezeptur bestimmen (20h)</t>
  </si>
  <si>
    <t xml:space="preserve">Gieß-Arbeitsplatz einrichten (16h)</t>
  </si>
  <si>
    <t xml:space="preserve">Ausstattung Göpfert &lt;-&gt; FTT gegenüberstellen (12h)</t>
  </si>
  <si>
    <t xml:space="preserve">Parametrisches CAD-Modell (20h)</t>
  </si>
  <si>
    <t xml:space="preserve">Restaufwand gesamt [h]</t>
  </si>
  <si>
    <t xml:space="preserve">Idealline [h]</t>
  </si>
  <si>
    <t xml:space="preserve">Diagrammdaten Burndown (aus der Matrix oben berechnet)</t>
  </si>
  <si>
    <t xml:space="preserve">Datum</t>
  </si>
  <si>
    <t xml:space="preserve">Restaufwand ist [h]</t>
  </si>
  <si>
    <t xml:space="preserve">Team-Management-Barometer (Mittelwerte, Skala 1-6)</t>
  </si>
  <si>
    <t xml:space="preserve">10.08.2026</t>
  </si>
  <si>
    <t xml:space="preserve">17.08.2026</t>
  </si>
  <si>
    <t xml:space="preserve">21.08.2026</t>
  </si>
  <si>
    <t xml:space="preserve">Teammotivation</t>
  </si>
  <si>
    <t xml:space="preserve">Zielausrichtung</t>
  </si>
  <si>
    <t xml:space="preserve">Auftraggebereinbindung</t>
  </si>
  <si>
    <t xml:space="preserve">Arbeitsfortschritt</t>
  </si>
  <si>
    <t xml:space="preserve">One Pager Statusbericht 1 - Bedienung</t>
  </si>
  <si>
    <t xml:space="preserve">Was?</t>
  </si>
  <si>
    <t xml:space="preserve">Wo ändern?</t>
  </si>
  <si>
    <t xml:space="preserve">Alle Textfelder</t>
  </si>
  <si>
    <t xml:space="preserve">Direkt im Blatt 'One Pager' in die jeweilige Zelle klicken und überschreiben. Alle Bloecke sind verbundene Zellen mit Zeilenumbruch - Umbruch mit Alt+Enter.</t>
  </si>
  <si>
    <t xml:space="preserve">Ampel (gelb/grün/rot)</t>
  </si>
  <si>
    <t xml:space="preserve">Blatt 'One Pager', Zelle F6. Füllfarbe der Zelle F6:G8 ändern (grün 00B050, gelb FFC000, rot FF0000) und den Text anpassen.</t>
  </si>
  <si>
    <t xml:space="preserve">Kennzahlen-Kacheln</t>
  </si>
  <si>
    <t xml:space="preserve">Zeile 11. E11 und G11 sind Formeln und ziehen sich aus dem Blatt 'Daten' (Startwert und Endwert des Burndowns). Die übrigen vier Kacheln sind fester Text.</t>
  </si>
  <si>
    <t xml:space="preserve">Burndown-Diagramm</t>
  </si>
  <si>
    <t xml:space="preserve">Blatt 'Daten', Matrix ab Zeile 5: Restaufwand je Aufgabe und Tag. Summenzeile und Idealline rechnen automatisch, das Diagramm folgt.</t>
  </si>
  <si>
    <t xml:space="preserve">Idealline</t>
  </si>
  <si>
    <t xml:space="preserve">Blatt 'Daten', Zeile der Idealline: 143 h / 13 Tagesschritte = 11 h pro Tag. Formel passt sich an, wenn sich der Startwert aendert.</t>
  </si>
  <si>
    <t xml:space="preserve">Barometer-Diagramm</t>
  </si>
  <si>
    <t xml:space="preserve">Blatt 'Daten', Barometer-Tabelle unten. Weitere Messtermine als neue Spalte ergänzen und den Diagrammbereich erweitern.</t>
  </si>
  <si>
    <t xml:space="preserve">Ablaufplan-Leiste</t>
  </si>
  <si>
    <t xml:space="preserve">Blatt 'One Pager', Zeilen 45/46. Der 'heute'-Hinweis steht in der Sektionsleiste Zeile 44.</t>
  </si>
  <si>
    <t xml:space="preserve">Drucken / PDF</t>
  </si>
  <si>
    <t xml:space="preserve">Blatt 'One Pager' ist als A4 quer auf genau eine Seite eingerichtet (Druckbereich A1:L48). Export über Datei &gt; Exportieren &gt; PDF erstellen.</t>
  </si>
  <si>
    <t xml:space="preserve">Hinweis zum Burndown</t>
  </si>
  <si>
    <t xml:space="preserve">Im One Pager steht bewusst die Gesamtkurve mit Idealline (Managementsicht). Das gestapelte Detaildiagramm mit allen zwölf Arbeitspaketen bleibt im Statusbericht, Kapitel 2.2.1. Beide Darstellungen nutzen dieselben Zahlen.</t>
  </si>
  <si>
    <t xml:space="preserve">Gesetzte Annahmen</t>
  </si>
  <si>
    <t xml:space="preserve">Ist-Werte Sprint 1 (Fertigstellungsreihenfolge, Barometer-Mittelwerte) wurden vom Team gesetzt, nicht gemessen - siehe 'Sprint-1-Ist-Erhebung' im Projekt-Vault.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</si>
</sst>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;;\-"/>
    <numFmt numFmtId="166" formatCode="0"/>
    <numFmt numFmtId="167" formatCode="0.0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8"/>
      <color rgb="FF000000"/>
      <name val="Arial"/>
      <family val="0"/>
      <charset val="1"/>
    </font>
    <font>
      <b val="true"/>
      <sz val="14"/>
      <color rgb="FF1F3864"/>
      <name val="Arial"/>
      <family val="0"/>
      <charset val="1"/>
    </font>
    <font>
      <sz val="9"/>
      <color rgb="FF595959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8"/>
      <color rgb="FF1F3864"/>
      <name val="Arial"/>
      <family val="0"/>
      <charset val="1"/>
    </font>
    <font>
      <b val="true"/>
      <sz val="8"/>
      <color rgb="FF7F6000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8"/>
      <color rgb="FF000000"/>
      <name val="Arial"/>
      <family val="0"/>
      <charset val="1"/>
    </font>
    <font>
      <i val="true"/>
      <sz val="8"/>
      <color rgb="FF595959"/>
      <name val="Arial"/>
      <family val="0"/>
      <charset val="1"/>
    </font>
    <font>
      <sz val="8"/>
      <color rgb="FF595959"/>
      <name val="Arial"/>
      <family val="0"/>
      <charset val="1"/>
    </font>
    <font>
      <sz val="10"/>
      <color rgb="FF000000"/>
      <name val="Calibri"/>
      <family val="2"/>
    </font>
    <font>
      <b val="true"/>
      <sz val="9"/>
      <color rgb="FF000000"/>
      <name val="Arial"/>
      <family val="0"/>
      <charset val="1"/>
    </font>
    <font>
      <b val="true"/>
      <sz val="9"/>
      <color rgb="FF808080"/>
      <name val="Arial"/>
      <family val="0"/>
      <charset val="1"/>
    </font>
    <font>
      <sz val="9"/>
      <color rgb="FF808080"/>
      <name val="Arial"/>
      <family val="0"/>
      <charset val="1"/>
    </font>
    <font>
      <b val="true"/>
      <sz val="10"/>
      <color rgb="FF1F3864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FFFFFF"/>
        <bgColor rgb="FFF2F2F2"/>
      </patternFill>
    </fill>
    <fill>
      <patternFill patternType="solid">
        <fgColor rgb="FFFFC000"/>
        <bgColor rgb="FFFF9900"/>
      </patternFill>
    </fill>
    <fill>
      <patternFill patternType="solid">
        <fgColor rgb="FFD9E2F3"/>
        <bgColor rgb="FFD9D9D9"/>
      </patternFill>
    </fill>
    <fill>
      <patternFill patternType="solid">
        <fgColor rgb="FFF2F2F2"/>
        <bgColor rgb="FFFFFFFF"/>
      </patternFill>
    </fill>
    <fill>
      <patternFill patternType="solid">
        <fgColor rgb="FF2E5395"/>
        <bgColor rgb="FF1F3864"/>
      </patternFill>
    </fill>
    <fill>
      <patternFill patternType="solid">
        <fgColor rgb="FFC6E0B4"/>
        <bgColor rgb="FFD9D9D9"/>
      </patternFill>
    </fill>
    <fill>
      <patternFill patternType="solid">
        <fgColor rgb="FFBDD7EE"/>
        <bgColor rgb="FFD9D9D9"/>
      </patternFill>
    </fill>
    <fill>
      <patternFill patternType="solid">
        <fgColor rgb="FFFFF2CC"/>
        <bgColor rgb="FFF2F2F2"/>
      </patternFill>
    </fill>
    <fill>
      <patternFill patternType="solid">
        <fgColor rgb="FFF8CBAD"/>
        <bgColor rgb="FFD9D9D9"/>
      </patternFill>
    </fill>
  </fills>
  <borders count="8">
    <border diagonalUp="false" diagonalDown="false">
      <left/>
      <right/>
      <top/>
      <bottom/>
      <diagonal/>
    </border>
    <border diagonalUp="false" diagonalDown="false">
      <left style="medium">
        <color rgb="FF2E5395"/>
      </left>
      <right style="medium">
        <color rgb="FF2E5395"/>
      </right>
      <top style="medium">
        <color rgb="FF2E5395"/>
      </top>
      <bottom style="medium">
        <color rgb="FF2E5395"/>
      </bottom>
      <diagonal/>
    </border>
    <border diagonalUp="false" diagonalDown="false">
      <left style="medium">
        <color rgb="FF2E5395"/>
      </left>
      <right style="medium">
        <color rgb="FF2E5395"/>
      </right>
      <top style="medium">
        <color rgb="FF2E5395"/>
      </top>
      <bottom/>
      <diagonal/>
    </border>
    <border diagonalUp="false" diagonalDown="false">
      <left style="medium">
        <color rgb="FF2E5395"/>
      </left>
      <right style="medium">
        <color rgb="FF2E5395"/>
      </right>
      <top/>
      <bottom style="medium">
        <color rgb="FF2E5395"/>
      </bottom>
      <diagonal/>
    </border>
    <border diagonalUp="false" diagonalDown="false">
      <left style="thin">
        <color rgb="FF8EA9DB"/>
      </left>
      <right style="thin">
        <color rgb="FF8EA9DB"/>
      </right>
      <top style="thin">
        <color rgb="FF8EA9DB"/>
      </top>
      <bottom/>
      <diagonal/>
    </border>
    <border diagonalUp="false" diagonalDown="false">
      <left style="thin">
        <color rgb="FF8EA9DB"/>
      </left>
      <right style="thin">
        <color rgb="FF8EA9DB"/>
      </right>
      <top/>
      <bottom style="thin">
        <color rgb="FF8EA9DB"/>
      </bottom>
      <diagonal/>
    </border>
    <border diagonalUp="false" diagonalDown="false">
      <left style="thin">
        <color rgb="FF8EA9DB"/>
      </left>
      <right style="thin">
        <color rgb="FF8EA9DB"/>
      </right>
      <top style="thin">
        <color rgb="FF8EA9DB"/>
      </top>
      <bottom style="thin">
        <color rgb="FF8EA9DB"/>
      </bottom>
      <diagonal/>
    </border>
    <border diagonalUp="false" diagonalDown="false">
      <left/>
      <right/>
      <top style="thin">
        <color rgb="FF8EA9DB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5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6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6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4" fillId="0" borderId="6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6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4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0" borderId="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7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8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9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7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8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9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1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5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7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0" borderId="7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6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7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9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17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17" fillId="4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7" fillId="4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6000"/>
      <rgbColor rgb="FF800080"/>
      <rgbColor rgb="FF008080"/>
      <rgbColor rgb="FFD9D9D9"/>
      <rgbColor rgb="FF808080"/>
      <rgbColor rgb="FF8EA9DB"/>
      <rgbColor rgb="FFBE4B48"/>
      <rgbColor rgb="FFFFF2CC"/>
      <rgbColor rgb="FFF2F2F2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2F3"/>
      <rgbColor rgb="FFC6E0B4"/>
      <rgbColor rgb="FFFFFF99"/>
      <rgbColor rgb="FF99CCFF"/>
      <rgbColor rgb="FFFF99CC"/>
      <rgbColor rgb="FFCC99FF"/>
      <rgbColor rgb="FFF8CBAD"/>
      <rgbColor rgb="FF4A7EBB"/>
      <rgbColor rgb="FF33CCCC"/>
      <rgbColor rgb="FF98B855"/>
      <rgbColor rgb="FFFFC000"/>
      <rgbColor rgb="FFFF9900"/>
      <rgbColor rgb="FFFF6600"/>
      <rgbColor rgb="FF7D5FA0"/>
      <rgbColor rgb="FF878787"/>
      <rgbColor rgb="FF1F3864"/>
      <rgbColor rgb="FF339966"/>
      <rgbColor rgb="FF003300"/>
      <rgbColor rgb="FF333300"/>
      <rgbColor rgb="FF993300"/>
      <rgbColor rgb="FF993366"/>
      <rgbColor rgb="FF2E5395"/>
      <rgbColor rgb="FF59595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tx>
            <c:strRef>
              <c:f>Daten!B22</c:f>
              <c:strCache>
                <c:ptCount val="1"/>
                <c:pt idx="0">
                  <c:v>Restaufwand ist [h]</c:v>
                </c:pt>
              </c:strCache>
            </c:strRef>
          </c:tx>
          <c:spPr>
            <a:solidFill>
              <a:srgbClr val="2e5395"/>
            </a:solidFill>
            <a:ln w="9360">
              <a:solidFill>
                <a:srgbClr val="2e5395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Daten!$A$23:$A$36</c:f>
              <c:strCache>
                <c:ptCount val="14"/>
                <c:pt idx="0">
                  <c:v>10.08.</c:v>
                </c:pt>
                <c:pt idx="1">
                  <c:v>11.08.</c:v>
                </c:pt>
                <c:pt idx="2">
                  <c:v>12.08.</c:v>
                </c:pt>
                <c:pt idx="3">
                  <c:v>13.08.</c:v>
                </c:pt>
                <c:pt idx="4">
                  <c:v>14.08.</c:v>
                </c:pt>
                <c:pt idx="5">
                  <c:v>15.08.</c:v>
                </c:pt>
                <c:pt idx="6">
                  <c:v>16.08.</c:v>
                </c:pt>
                <c:pt idx="7">
                  <c:v>17.08.</c:v>
                </c:pt>
                <c:pt idx="8">
                  <c:v>18.08.</c:v>
                </c:pt>
                <c:pt idx="9">
                  <c:v>19.08.</c:v>
                </c:pt>
                <c:pt idx="10">
                  <c:v>20.08.</c:v>
                </c:pt>
                <c:pt idx="11">
                  <c:v>21.08.</c:v>
                </c:pt>
                <c:pt idx="12">
                  <c:v>22.08.</c:v>
                </c:pt>
                <c:pt idx="13">
                  <c:v>23.08.</c:v>
                </c:pt>
              </c:strCache>
            </c:strRef>
          </c:cat>
          <c:val>
            <c:numRef>
              <c:f>Daten!$B$23:$B$36</c:f>
              <c:numCache>
                <c:formatCode>0</c:formatCode>
                <c:ptCount val="14"/>
                <c:pt idx="0">
                  <c:v>143</c:v>
                </c:pt>
                <c:pt idx="1">
                  <c:v>135</c:v>
                </c:pt>
                <c:pt idx="2">
                  <c:v>117</c:v>
                </c:pt>
                <c:pt idx="3">
                  <c:v>112</c:v>
                </c:pt>
                <c:pt idx="4">
                  <c:v>102</c:v>
                </c:pt>
                <c:pt idx="5">
                  <c:v>102</c:v>
                </c:pt>
                <c:pt idx="6">
                  <c:v>102</c:v>
                </c:pt>
                <c:pt idx="7">
                  <c:v>88</c:v>
                </c:pt>
                <c:pt idx="8">
                  <c:v>80</c:v>
                </c:pt>
                <c:pt idx="9">
                  <c:v>68</c:v>
                </c:pt>
                <c:pt idx="10">
                  <c:v>48</c:v>
                </c:pt>
                <c:pt idx="11">
                  <c:v>32</c:v>
                </c:pt>
                <c:pt idx="12">
                  <c:v>32</c:v>
                </c:pt>
                <c:pt idx="13">
                  <c:v>20</c:v>
                </c:pt>
              </c:numCache>
            </c:numRef>
          </c:val>
        </c:ser>
        <c:gapWidth val="40"/>
        <c:overlap val="0"/>
        <c:axId val="42877932"/>
        <c:axId val="99514130"/>
      </c:barChart>
      <c:lineChart>
        <c:grouping val="standard"/>
        <c:varyColors val="0"/>
        <c:ser>
          <c:idx val="1"/>
          <c:order val="1"/>
          <c:tx>
            <c:strRef>
              <c:f>Daten!C22</c:f>
              <c:strCache>
                <c:ptCount val="1"/>
                <c:pt idx="0">
                  <c:v>Idealline [h]</c:v>
                </c:pt>
              </c:strCache>
            </c:strRef>
          </c:tx>
          <c:spPr>
            <a:solidFill>
              <a:srgbClr val="808080"/>
            </a:solidFill>
            <a:ln w="15120">
              <a:solidFill>
                <a:srgbClr val="808080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Daten!$A$23:$A$36</c:f>
              <c:strCache>
                <c:ptCount val="14"/>
                <c:pt idx="0">
                  <c:v>10.08.</c:v>
                </c:pt>
                <c:pt idx="1">
                  <c:v>11.08.</c:v>
                </c:pt>
                <c:pt idx="2">
                  <c:v>12.08.</c:v>
                </c:pt>
                <c:pt idx="3">
                  <c:v>13.08.</c:v>
                </c:pt>
                <c:pt idx="4">
                  <c:v>14.08.</c:v>
                </c:pt>
                <c:pt idx="5">
                  <c:v>15.08.</c:v>
                </c:pt>
                <c:pt idx="6">
                  <c:v>16.08.</c:v>
                </c:pt>
                <c:pt idx="7">
                  <c:v>17.08.</c:v>
                </c:pt>
                <c:pt idx="8">
                  <c:v>18.08.</c:v>
                </c:pt>
                <c:pt idx="9">
                  <c:v>19.08.</c:v>
                </c:pt>
                <c:pt idx="10">
                  <c:v>20.08.</c:v>
                </c:pt>
                <c:pt idx="11">
                  <c:v>21.08.</c:v>
                </c:pt>
                <c:pt idx="12">
                  <c:v>22.08.</c:v>
                </c:pt>
                <c:pt idx="13">
                  <c:v>23.08.</c:v>
                </c:pt>
              </c:strCache>
            </c:strRef>
          </c:cat>
          <c:val>
            <c:numRef>
              <c:f>Daten!$C$23:$C$36</c:f>
              <c:numCache>
                <c:formatCode>0</c:formatCode>
                <c:ptCount val="14"/>
                <c:pt idx="0">
                  <c:v>143</c:v>
                </c:pt>
                <c:pt idx="1">
                  <c:v>132</c:v>
                </c:pt>
                <c:pt idx="2">
                  <c:v>121</c:v>
                </c:pt>
                <c:pt idx="3">
                  <c:v>110</c:v>
                </c:pt>
                <c:pt idx="4">
                  <c:v>99</c:v>
                </c:pt>
                <c:pt idx="5">
                  <c:v>88</c:v>
                </c:pt>
                <c:pt idx="6">
                  <c:v>77</c:v>
                </c:pt>
                <c:pt idx="7">
                  <c:v>66</c:v>
                </c:pt>
                <c:pt idx="8">
                  <c:v>55</c:v>
                </c:pt>
                <c:pt idx="9">
                  <c:v>44</c:v>
                </c:pt>
                <c:pt idx="10">
                  <c:v>33</c:v>
                </c:pt>
                <c:pt idx="11">
                  <c:v>22</c:v>
                </c:pt>
                <c:pt idx="12">
                  <c:v>11</c:v>
                </c:pt>
                <c:pt idx="13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42877932"/>
        <c:axId val="99514130"/>
      </c:lineChart>
      <c:catAx>
        <c:axId val="428779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9514130"/>
        <c:crosses val="autoZero"/>
        <c:auto val="1"/>
        <c:lblAlgn val="ctr"/>
        <c:lblOffset val="100"/>
        <c:noMultiLvlLbl val="0"/>
      </c:catAx>
      <c:valAx>
        <c:axId val="99514130"/>
        <c:scaling>
          <c:orientation val="minMax"/>
          <c:max val="150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2877932"/>
        <c:crosses val="autoZero"/>
        <c:crossBetween val="between"/>
        <c:majorUnit val="25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tx>
            <c:strRef>
              <c:f>"Teammotivation"</c:f>
              <c:strCache>
                <c:ptCount val="1"/>
                <c:pt idx="0">
                  <c:v>Teammotivation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circle"/>
            <c:size val="5"/>
            <c:spPr>
              <a:solidFill>
                <a:srgbClr val="4a7eb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Daten!$B$40:$D$40</c:f>
              <c:multiLvlStrCache>
                <c:ptCount val="1"/>
                <c:lvl>
                  <c:pt idx="0">
                    <c:v>21.08.2026</c:v>
                  </c:pt>
                </c:lvl>
                <c:lvl>
                  <c:pt idx="0">
                    <c:v>17.08.2026</c:v>
                  </c:pt>
                </c:lvl>
                <c:lvl>
                  <c:pt idx="0">
                    <c:v>10.08.2026</c:v>
                  </c:pt>
                </c:lvl>
              </c:multiLvlStrCache>
            </c:multiLvlStrRef>
          </c:cat>
          <c:val>
            <c:numRef>
              <c:f>Daten!$B$41:$D$41</c:f>
              <c:numCache>
                <c:formatCode>0.0</c:formatCode>
                <c:ptCount val="3"/>
                <c:pt idx="0">
                  <c:v>5</c:v>
                </c:pt>
                <c:pt idx="1">
                  <c:v>5.3</c:v>
                </c:pt>
                <c:pt idx="2">
                  <c:v>5.3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"Zielausrichtung"</c:f>
              <c:strCache>
                <c:ptCount val="1"/>
                <c:pt idx="0">
                  <c:v>Zielausrichtung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circle"/>
            <c:size val="5"/>
            <c:spPr>
              <a:solidFill>
                <a:srgbClr val="be4b48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Daten!$B$40:$D$40</c:f>
              <c:multiLvlStrCache>
                <c:ptCount val="1"/>
                <c:lvl>
                  <c:pt idx="0">
                    <c:v>21.08.2026</c:v>
                  </c:pt>
                </c:lvl>
                <c:lvl>
                  <c:pt idx="0">
                    <c:v>17.08.2026</c:v>
                  </c:pt>
                </c:lvl>
                <c:lvl>
                  <c:pt idx="0">
                    <c:v>10.08.2026</c:v>
                  </c:pt>
                </c:lvl>
              </c:multiLvlStrCache>
            </c:multiLvlStrRef>
          </c:cat>
          <c:val>
            <c:numRef>
              <c:f>Daten!$B$42:$D$42</c:f>
              <c:numCache>
                <c:formatCode>0.0</c:formatCode>
                <c:ptCount val="3"/>
                <c:pt idx="0">
                  <c:v>4.7</c:v>
                </c:pt>
                <c:pt idx="1">
                  <c:v>5</c:v>
                </c:pt>
                <c:pt idx="2">
                  <c:v>5.3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"Auftraggebereinbindung"</c:f>
              <c:strCache>
                <c:ptCount val="1"/>
                <c:pt idx="0">
                  <c:v>Auftraggebereinbindung</c:v>
                </c:pt>
              </c:strCache>
            </c:strRef>
          </c:tx>
          <c:spPr>
            <a:solidFill>
              <a:srgbClr val="98b855"/>
            </a:solidFill>
            <a:ln w="28440">
              <a:solidFill>
                <a:srgbClr val="98b855"/>
              </a:solidFill>
              <a:round/>
            </a:ln>
          </c:spPr>
          <c:marker>
            <c:symbol val="circle"/>
            <c:size val="5"/>
            <c:spPr>
              <a:solidFill>
                <a:srgbClr val="98b855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Daten!$B$40:$D$40</c:f>
              <c:multiLvlStrCache>
                <c:ptCount val="1"/>
                <c:lvl>
                  <c:pt idx="0">
                    <c:v>21.08.2026</c:v>
                  </c:pt>
                </c:lvl>
                <c:lvl>
                  <c:pt idx="0">
                    <c:v>17.08.2026</c:v>
                  </c:pt>
                </c:lvl>
                <c:lvl>
                  <c:pt idx="0">
                    <c:v>10.08.2026</c:v>
                  </c:pt>
                </c:lvl>
              </c:multiLvlStrCache>
            </c:multiLvlStrRef>
          </c:cat>
          <c:val>
            <c:numRef>
              <c:f>Daten!$B$43:$D$43</c:f>
              <c:numCache>
                <c:formatCode>0.0</c:formatCode>
                <c:ptCount val="3"/>
                <c:pt idx="0">
                  <c:v>2.7</c:v>
                </c:pt>
                <c:pt idx="1">
                  <c:v>2.7</c:v>
                </c:pt>
                <c:pt idx="2">
                  <c:v>3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"Arbeitsfortschritt"</c:f>
              <c:strCache>
                <c:ptCount val="1"/>
                <c:pt idx="0">
                  <c:v>Arbeitsfortschritt</c:v>
                </c:pt>
              </c:strCache>
            </c:strRef>
          </c:tx>
          <c:spPr>
            <a:solidFill>
              <a:srgbClr val="7d5fa0"/>
            </a:solidFill>
            <a:ln w="28440">
              <a:solidFill>
                <a:srgbClr val="7d5fa0"/>
              </a:solidFill>
              <a:round/>
            </a:ln>
          </c:spPr>
          <c:marker>
            <c:symbol val="circle"/>
            <c:size val="5"/>
            <c:spPr>
              <a:solidFill>
                <a:srgbClr val="7d5fa0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Daten!$B$40:$D$40</c:f>
              <c:multiLvlStrCache>
                <c:ptCount val="1"/>
                <c:lvl>
                  <c:pt idx="0">
                    <c:v>21.08.2026</c:v>
                  </c:pt>
                </c:lvl>
                <c:lvl>
                  <c:pt idx="0">
                    <c:v>17.08.2026</c:v>
                  </c:pt>
                </c:lvl>
                <c:lvl>
                  <c:pt idx="0">
                    <c:v>10.08.2026</c:v>
                  </c:pt>
                </c:lvl>
              </c:multiLvlStrCache>
            </c:multiLvlStrRef>
          </c:cat>
          <c:val>
            <c:numRef>
              <c:f>Daten!$B$44:$D$44</c:f>
              <c:numCache>
                <c:formatCode>0.0</c:formatCode>
                <c:ptCount val="3"/>
                <c:pt idx="0">
                  <c:v>4</c:v>
                </c:pt>
                <c:pt idx="1">
                  <c:v>3.7</c:v>
                </c:pt>
                <c:pt idx="2">
                  <c:v>4.3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32713327"/>
        <c:axId val="90112144"/>
      </c:lineChart>
      <c:catAx>
        <c:axId val="327133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0112144"/>
        <c:crosses val="autoZero"/>
        <c:auto val="1"/>
        <c:lblAlgn val="ctr"/>
        <c:lblOffset val="100"/>
        <c:noMultiLvlLbl val="0"/>
      </c:catAx>
      <c:valAx>
        <c:axId val="90112144"/>
        <c:scaling>
          <c:orientation val="minMax"/>
          <c:max val="6"/>
          <c:min val="1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2713327"/>
        <c:crosses val="autoZero"/>
        <c:crossBetween val="between"/>
        <c:majorUnit val="1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13</xdr:row>
      <xdr:rowOff>0</xdr:rowOff>
    </xdr:from>
    <xdr:to>
      <xdr:col>5</xdr:col>
      <xdr:colOff>373320</xdr:colOff>
      <xdr:row>25</xdr:row>
      <xdr:rowOff>720</xdr:rowOff>
    </xdr:to>
    <xdr:graphicFrame>
      <xdr:nvGraphicFramePr>
        <xdr:cNvPr id="0" name="Chart 1"/>
        <xdr:cNvGraphicFramePr/>
      </xdr:nvGraphicFramePr>
      <xdr:xfrm>
        <a:off x="0" y="1886040"/>
        <a:ext cx="4427640" cy="1943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26</xdr:row>
      <xdr:rowOff>0</xdr:rowOff>
    </xdr:from>
    <xdr:to>
      <xdr:col>5</xdr:col>
      <xdr:colOff>373320</xdr:colOff>
      <xdr:row>35</xdr:row>
      <xdr:rowOff>162000</xdr:rowOff>
    </xdr:to>
    <xdr:graphicFrame>
      <xdr:nvGraphicFramePr>
        <xdr:cNvPr id="1" name="Chart 2"/>
        <xdr:cNvGraphicFramePr/>
      </xdr:nvGraphicFramePr>
      <xdr:xfrm>
        <a:off x="0" y="4019400"/>
        <a:ext cx="4427640" cy="16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4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2" min="1" style="0" width="11.5"/>
  </cols>
  <sheetData>
    <row r="1" customFormat="false" ht="13.5" hidden="false" customHeight="true" outlineLevel="0" collapsed="false">
      <c r="A1" s="1" t="s">
        <v>0</v>
      </c>
      <c r="B1" s="1"/>
      <c r="C1" s="1"/>
      <c r="D1" s="2" t="s">
        <v>1</v>
      </c>
      <c r="E1" s="2"/>
      <c r="F1" s="2"/>
      <c r="G1" s="2"/>
      <c r="H1" s="2"/>
      <c r="I1" s="1" t="s">
        <v>2</v>
      </c>
      <c r="J1" s="1"/>
      <c r="K1" s="1"/>
      <c r="L1" s="1"/>
    </row>
    <row r="2" customFormat="false" ht="13.5" hidden="false" customHeight="true" outlineLevel="0" collapsed="false">
      <c r="A2" s="1"/>
      <c r="B2" s="1"/>
      <c r="C2" s="1"/>
      <c r="D2" s="2"/>
      <c r="E2" s="2"/>
      <c r="F2" s="2"/>
      <c r="G2" s="2"/>
      <c r="H2" s="2"/>
      <c r="I2" s="1"/>
      <c r="J2" s="1"/>
      <c r="K2" s="1"/>
      <c r="L2" s="1"/>
    </row>
    <row r="3" customFormat="false" ht="13.5" hidden="false" customHeight="true" outlineLevel="0" collapsed="false">
      <c r="A3" s="1"/>
      <c r="B3" s="1"/>
      <c r="C3" s="1"/>
      <c r="D3" s="3" t="s">
        <v>3</v>
      </c>
      <c r="E3" s="3"/>
      <c r="F3" s="3"/>
      <c r="G3" s="3"/>
      <c r="H3" s="3"/>
      <c r="I3" s="1"/>
      <c r="J3" s="1"/>
      <c r="K3" s="1"/>
      <c r="L3" s="1"/>
    </row>
    <row r="4" customFormat="false" ht="4.5" hidden="false" customHeight="true" outlineLevel="0" collapsed="false"/>
    <row r="5" customFormat="false" ht="12.75" hidden="false" customHeight="true" outlineLevel="0" collapsed="false">
      <c r="A5" s="4" t="s">
        <v>4</v>
      </c>
      <c r="B5" s="4"/>
      <c r="C5" s="4"/>
      <c r="D5" s="4"/>
      <c r="E5" s="4"/>
      <c r="F5" s="5" t="s">
        <v>5</v>
      </c>
      <c r="G5" s="5"/>
      <c r="H5" s="6" t="s">
        <v>6</v>
      </c>
      <c r="I5" s="6"/>
      <c r="J5" s="6"/>
      <c r="K5" s="6"/>
      <c r="L5" s="6"/>
    </row>
    <row r="6" customFormat="false" ht="12.75" hidden="false" customHeight="true" outlineLevel="0" collapsed="false">
      <c r="A6" s="4"/>
      <c r="B6" s="4"/>
      <c r="C6" s="4"/>
      <c r="D6" s="4"/>
      <c r="E6" s="4"/>
      <c r="F6" s="7" t="s">
        <v>7</v>
      </c>
      <c r="G6" s="7"/>
      <c r="H6" s="6"/>
      <c r="I6" s="6"/>
      <c r="J6" s="6"/>
      <c r="K6" s="6"/>
      <c r="L6" s="6"/>
    </row>
    <row r="7" customFormat="false" ht="12.75" hidden="false" customHeight="true" outlineLevel="0" collapsed="false">
      <c r="A7" s="4"/>
      <c r="B7" s="4"/>
      <c r="C7" s="4"/>
      <c r="D7" s="4"/>
      <c r="E7" s="4"/>
      <c r="F7" s="7"/>
      <c r="G7" s="7"/>
      <c r="H7" s="6"/>
      <c r="I7" s="6"/>
      <c r="J7" s="6"/>
      <c r="K7" s="6"/>
      <c r="L7" s="6"/>
    </row>
    <row r="8" customFormat="false" ht="12.75" hidden="false" customHeight="true" outlineLevel="0" collapsed="false">
      <c r="A8" s="4"/>
      <c r="B8" s="4"/>
      <c r="C8" s="4"/>
      <c r="D8" s="4"/>
      <c r="E8" s="4"/>
      <c r="F8" s="7"/>
      <c r="G8" s="7"/>
      <c r="H8" s="6"/>
      <c r="I8" s="6"/>
      <c r="J8" s="6"/>
      <c r="K8" s="6"/>
      <c r="L8" s="6"/>
    </row>
    <row r="9" customFormat="false" ht="4.5" hidden="false" customHeight="true" outlineLevel="0" collapsed="false"/>
    <row r="10" customFormat="false" ht="12" hidden="false" customHeight="true" outlineLevel="0" collapsed="false">
      <c r="A10" s="8" t="s">
        <v>8</v>
      </c>
      <c r="B10" s="8"/>
      <c r="C10" s="8" t="s">
        <v>9</v>
      </c>
      <c r="D10" s="8"/>
      <c r="E10" s="8" t="s">
        <v>10</v>
      </c>
      <c r="F10" s="8"/>
      <c r="G10" s="8" t="s">
        <v>11</v>
      </c>
      <c r="H10" s="8"/>
      <c r="I10" s="8" t="s">
        <v>12</v>
      </c>
      <c r="J10" s="8"/>
      <c r="K10" s="8" t="s">
        <v>13</v>
      </c>
      <c r="L10" s="8"/>
    </row>
    <row r="11" customFormat="false" ht="16.5" hidden="false" customHeight="true" outlineLevel="0" collapsed="false">
      <c r="A11" s="9" t="s">
        <v>14</v>
      </c>
      <c r="B11" s="9"/>
      <c r="C11" s="9" t="s">
        <v>15</v>
      </c>
      <c r="D11" s="9"/>
      <c r="E11" s="9" t="str">
        <f aca="false">TEXT(Daten!$B$17-Daten!$O$17,"0")&amp;" von "&amp;TEXT(Daten!$B$17,"0")&amp;" h"</f>
        <v>123 von 143 h</v>
      </c>
      <c r="F11" s="9"/>
      <c r="G11" s="9" t="str">
        <f aca="false">TEXT(Daten!$O$17,"0")&amp;" h  (1 Aufgabe)"</f>
        <v>20 h  (1 Aufgabe)</v>
      </c>
      <c r="H11" s="9"/>
      <c r="I11" s="9" t="s">
        <v>16</v>
      </c>
      <c r="J11" s="9"/>
      <c r="K11" s="9" t="s">
        <v>17</v>
      </c>
      <c r="L11" s="9"/>
    </row>
    <row r="12" customFormat="false" ht="4.5" hidden="false" customHeight="true" outlineLevel="0" collapsed="false"/>
    <row r="13" customFormat="false" ht="15" hidden="false" customHeight="true" outlineLevel="0" collapsed="false">
      <c r="A13" s="10" t="s">
        <v>18</v>
      </c>
      <c r="B13" s="10"/>
      <c r="C13" s="10"/>
      <c r="D13" s="10"/>
      <c r="E13" s="10"/>
      <c r="F13" s="10"/>
      <c r="G13" s="10" t="s">
        <v>19</v>
      </c>
      <c r="H13" s="10"/>
      <c r="I13" s="10"/>
      <c r="J13" s="10"/>
      <c r="K13" s="10"/>
      <c r="L13" s="10"/>
    </row>
    <row r="14" customFormat="false" ht="12.75" hidden="false" customHeight="true" outlineLevel="0" collapsed="false">
      <c r="A14" s="11"/>
      <c r="B14" s="11"/>
      <c r="C14" s="11"/>
      <c r="D14" s="11"/>
      <c r="E14" s="11"/>
      <c r="F14" s="11"/>
      <c r="G14" s="12" t="s">
        <v>20</v>
      </c>
      <c r="H14" s="12"/>
      <c r="I14" s="12"/>
      <c r="J14" s="12"/>
      <c r="K14" s="12"/>
      <c r="L14" s="12"/>
    </row>
    <row r="15" customFormat="false" ht="12.75" hidden="false" customHeight="true" outlineLevel="0" collapsed="false">
      <c r="A15" s="11"/>
      <c r="B15" s="11"/>
      <c r="C15" s="11"/>
      <c r="D15" s="11"/>
      <c r="E15" s="11"/>
      <c r="F15" s="11"/>
      <c r="G15" s="12"/>
      <c r="H15" s="12"/>
      <c r="I15" s="12"/>
      <c r="J15" s="12"/>
      <c r="K15" s="12"/>
      <c r="L15" s="12"/>
    </row>
    <row r="16" customFormat="false" ht="12.75" hidden="false" customHeight="true" outlineLevel="0" collapsed="false">
      <c r="A16" s="11"/>
      <c r="B16" s="11"/>
      <c r="C16" s="11"/>
      <c r="D16" s="11"/>
      <c r="E16" s="11"/>
      <c r="F16" s="11"/>
      <c r="G16" s="12"/>
      <c r="H16" s="12"/>
      <c r="I16" s="12"/>
      <c r="J16" s="12"/>
      <c r="K16" s="12"/>
      <c r="L16" s="12"/>
    </row>
    <row r="17" customFormat="false" ht="12.75" hidden="false" customHeight="true" outlineLevel="0" collapsed="false">
      <c r="A17" s="11"/>
      <c r="B17" s="11"/>
      <c r="C17" s="11"/>
      <c r="D17" s="11"/>
      <c r="E17" s="11"/>
      <c r="F17" s="11"/>
      <c r="G17" s="12"/>
      <c r="H17" s="12"/>
      <c r="I17" s="12"/>
      <c r="J17" s="12"/>
      <c r="K17" s="12"/>
      <c r="L17" s="12"/>
    </row>
    <row r="18" customFormat="false" ht="12.75" hidden="false" customHeight="true" outlineLevel="0" collapsed="false">
      <c r="A18" s="11"/>
      <c r="B18" s="11"/>
      <c r="C18" s="11"/>
      <c r="D18" s="11"/>
      <c r="E18" s="11"/>
      <c r="F18" s="11"/>
      <c r="G18" s="12"/>
      <c r="H18" s="12"/>
      <c r="I18" s="12"/>
      <c r="J18" s="12"/>
      <c r="K18" s="12"/>
      <c r="L18" s="12"/>
    </row>
    <row r="19" customFormat="false" ht="12.75" hidden="false" customHeight="true" outlineLevel="0" collapsed="false">
      <c r="A19" s="11"/>
      <c r="B19" s="11"/>
      <c r="C19" s="11"/>
      <c r="D19" s="11"/>
      <c r="E19" s="11"/>
      <c r="F19" s="11"/>
      <c r="G19" s="12"/>
      <c r="H19" s="12"/>
      <c r="I19" s="12"/>
      <c r="J19" s="12"/>
      <c r="K19" s="12"/>
      <c r="L19" s="12"/>
    </row>
    <row r="20" customFormat="false" ht="12.75" hidden="false" customHeight="true" outlineLevel="0" collapsed="false">
      <c r="A20" s="11"/>
      <c r="B20" s="11"/>
      <c r="C20" s="11"/>
      <c r="D20" s="11"/>
      <c r="E20" s="11"/>
      <c r="F20" s="11"/>
      <c r="G20" s="13" t="s">
        <v>21</v>
      </c>
      <c r="H20" s="13"/>
      <c r="I20" s="13"/>
      <c r="J20" s="13"/>
      <c r="K20" s="13"/>
      <c r="L20" s="13"/>
    </row>
    <row r="21" customFormat="false" ht="12.75" hidden="false" customHeight="true" outlineLevel="0" collapsed="false">
      <c r="A21" s="11"/>
      <c r="B21" s="11"/>
      <c r="C21" s="11"/>
      <c r="D21" s="11"/>
      <c r="E21" s="11"/>
      <c r="F21" s="11"/>
      <c r="G21" s="12" t="s">
        <v>22</v>
      </c>
      <c r="H21" s="12"/>
      <c r="I21" s="12"/>
      <c r="J21" s="12"/>
      <c r="K21" s="12"/>
      <c r="L21" s="12"/>
    </row>
    <row r="22" customFormat="false" ht="12.75" hidden="false" customHeight="true" outlineLevel="0" collapsed="false">
      <c r="A22" s="11"/>
      <c r="B22" s="11"/>
      <c r="C22" s="11"/>
      <c r="D22" s="11"/>
      <c r="E22" s="11"/>
      <c r="F22" s="11"/>
      <c r="G22" s="12"/>
      <c r="H22" s="12"/>
      <c r="I22" s="12"/>
      <c r="J22" s="12"/>
      <c r="K22" s="12"/>
      <c r="L22" s="12"/>
    </row>
    <row r="23" customFormat="false" ht="12.75" hidden="false" customHeight="true" outlineLevel="0" collapsed="false">
      <c r="A23" s="11"/>
      <c r="B23" s="11"/>
      <c r="C23" s="11"/>
      <c r="D23" s="11"/>
      <c r="E23" s="11"/>
      <c r="F23" s="11"/>
      <c r="G23" s="12"/>
      <c r="H23" s="12"/>
      <c r="I23" s="12"/>
      <c r="J23" s="12"/>
      <c r="K23" s="12"/>
      <c r="L23" s="12"/>
    </row>
    <row r="24" customFormat="false" ht="12.75" hidden="false" customHeight="true" outlineLevel="0" collapsed="false">
      <c r="A24" s="11"/>
      <c r="B24" s="11"/>
      <c r="C24" s="11"/>
      <c r="D24" s="11"/>
      <c r="E24" s="11"/>
      <c r="F24" s="11"/>
      <c r="G24" s="12"/>
      <c r="H24" s="12"/>
      <c r="I24" s="12"/>
      <c r="J24" s="12"/>
      <c r="K24" s="12"/>
      <c r="L24" s="12"/>
    </row>
    <row r="25" customFormat="false" ht="12.75" hidden="false" customHeight="true" outlineLevel="0" collapsed="false">
      <c r="A25" s="11"/>
      <c r="B25" s="11"/>
      <c r="C25" s="11"/>
      <c r="D25" s="11"/>
      <c r="E25" s="11"/>
      <c r="F25" s="11"/>
      <c r="G25" s="12"/>
      <c r="H25" s="12"/>
      <c r="I25" s="12"/>
      <c r="J25" s="12"/>
      <c r="K25" s="12"/>
      <c r="L25" s="12"/>
    </row>
    <row r="26" customFormat="false" ht="15" hidden="false" customHeight="true" outlineLevel="0" collapsed="false">
      <c r="A26" s="10" t="s">
        <v>23</v>
      </c>
      <c r="B26" s="10"/>
      <c r="C26" s="10"/>
      <c r="D26" s="10"/>
      <c r="E26" s="10"/>
      <c r="F26" s="10"/>
      <c r="G26" s="10" t="s">
        <v>24</v>
      </c>
      <c r="H26" s="10"/>
      <c r="I26" s="10"/>
      <c r="J26" s="10"/>
      <c r="K26" s="10"/>
      <c r="L26" s="10"/>
    </row>
    <row r="27" customFormat="false" ht="12.75" hidden="false" customHeight="true" outlineLevel="0" collapsed="false">
      <c r="A27" s="11"/>
      <c r="B27" s="11"/>
      <c r="C27" s="11"/>
      <c r="D27" s="11"/>
      <c r="E27" s="11"/>
      <c r="F27" s="11"/>
      <c r="G27" s="12" t="s">
        <v>25</v>
      </c>
      <c r="H27" s="12"/>
      <c r="I27" s="12"/>
      <c r="J27" s="12"/>
      <c r="K27" s="12"/>
      <c r="L27" s="12"/>
    </row>
    <row r="28" customFormat="false" ht="12.75" hidden="false" customHeight="true" outlineLevel="0" collapsed="false">
      <c r="A28" s="11"/>
      <c r="B28" s="11"/>
      <c r="C28" s="11"/>
      <c r="D28" s="11"/>
      <c r="E28" s="11"/>
      <c r="F28" s="11"/>
      <c r="G28" s="12"/>
      <c r="H28" s="12"/>
      <c r="I28" s="12"/>
      <c r="J28" s="12"/>
      <c r="K28" s="12"/>
      <c r="L28" s="12"/>
    </row>
    <row r="29" customFormat="false" ht="12.75" hidden="false" customHeight="true" outlineLevel="0" collapsed="false">
      <c r="A29" s="11"/>
      <c r="B29" s="11"/>
      <c r="C29" s="11"/>
      <c r="D29" s="11"/>
      <c r="E29" s="11"/>
      <c r="F29" s="11"/>
      <c r="G29" s="12"/>
      <c r="H29" s="12"/>
      <c r="I29" s="12"/>
      <c r="J29" s="12"/>
      <c r="K29" s="12"/>
      <c r="L29" s="12"/>
    </row>
    <row r="30" customFormat="false" ht="12.75" hidden="false" customHeight="true" outlineLevel="0" collapsed="false">
      <c r="A30" s="11"/>
      <c r="B30" s="11"/>
      <c r="C30" s="11"/>
      <c r="D30" s="11"/>
      <c r="E30" s="11"/>
      <c r="F30" s="11"/>
      <c r="G30" s="12"/>
      <c r="H30" s="12"/>
      <c r="I30" s="12"/>
      <c r="J30" s="12"/>
      <c r="K30" s="12"/>
      <c r="L30" s="12"/>
    </row>
    <row r="31" customFormat="false" ht="12.75" hidden="false" customHeight="true" outlineLevel="0" collapsed="false">
      <c r="A31" s="11"/>
      <c r="B31" s="11"/>
      <c r="C31" s="11"/>
      <c r="D31" s="11"/>
      <c r="E31" s="11"/>
      <c r="F31" s="11"/>
      <c r="G31" s="12"/>
      <c r="H31" s="12"/>
      <c r="I31" s="12"/>
      <c r="J31" s="12"/>
      <c r="K31" s="12"/>
      <c r="L31" s="12"/>
    </row>
    <row r="32" customFormat="false" ht="12.75" hidden="false" customHeight="true" outlineLevel="0" collapsed="false">
      <c r="A32" s="11"/>
      <c r="B32" s="11"/>
      <c r="C32" s="11"/>
      <c r="D32" s="11"/>
      <c r="E32" s="11"/>
      <c r="F32" s="11"/>
      <c r="G32" s="13" t="s">
        <v>26</v>
      </c>
      <c r="H32" s="13"/>
      <c r="I32" s="13"/>
      <c r="J32" s="13"/>
      <c r="K32" s="13"/>
      <c r="L32" s="13"/>
    </row>
    <row r="33" customFormat="false" ht="12.75" hidden="false" customHeight="true" outlineLevel="0" collapsed="false">
      <c r="A33" s="11"/>
      <c r="B33" s="11"/>
      <c r="C33" s="11"/>
      <c r="D33" s="11"/>
      <c r="E33" s="11"/>
      <c r="F33" s="11"/>
      <c r="G33" s="12" t="s">
        <v>27</v>
      </c>
      <c r="H33" s="12"/>
      <c r="I33" s="12"/>
      <c r="J33" s="12"/>
      <c r="K33" s="12"/>
      <c r="L33" s="12"/>
    </row>
    <row r="34" customFormat="false" ht="12.75" hidden="false" customHeight="true" outlineLevel="0" collapsed="false">
      <c r="A34" s="11"/>
      <c r="B34" s="11"/>
      <c r="C34" s="11"/>
      <c r="D34" s="11"/>
      <c r="E34" s="11"/>
      <c r="F34" s="11"/>
      <c r="G34" s="12"/>
      <c r="H34" s="12"/>
      <c r="I34" s="12"/>
      <c r="J34" s="12"/>
      <c r="K34" s="12"/>
      <c r="L34" s="12"/>
    </row>
    <row r="35" customFormat="false" ht="12.75" hidden="false" customHeight="true" outlineLevel="0" collapsed="false">
      <c r="A35" s="11"/>
      <c r="B35" s="11"/>
      <c r="C35" s="11"/>
      <c r="D35" s="11"/>
      <c r="E35" s="11"/>
      <c r="F35" s="11"/>
      <c r="G35" s="12"/>
      <c r="H35" s="12"/>
      <c r="I35" s="12"/>
      <c r="J35" s="12"/>
      <c r="K35" s="12"/>
      <c r="L35" s="12"/>
    </row>
    <row r="36" customFormat="false" ht="12.75" hidden="false" customHeight="true" outlineLevel="0" collapsed="false">
      <c r="A36" s="11"/>
      <c r="B36" s="11"/>
      <c r="C36" s="11"/>
      <c r="D36" s="11"/>
      <c r="E36" s="11"/>
      <c r="F36" s="11"/>
      <c r="G36" s="12"/>
      <c r="H36" s="12"/>
      <c r="I36" s="12"/>
      <c r="J36" s="12"/>
      <c r="K36" s="12"/>
      <c r="L36" s="12"/>
    </row>
    <row r="37" customFormat="false" ht="15" hidden="false" customHeight="true" outlineLevel="0" collapsed="false">
      <c r="A37" s="10" t="s">
        <v>28</v>
      </c>
      <c r="B37" s="10"/>
      <c r="C37" s="10"/>
      <c r="D37" s="10"/>
      <c r="E37" s="10"/>
      <c r="F37" s="10"/>
      <c r="G37" s="10" t="s">
        <v>29</v>
      </c>
      <c r="H37" s="10"/>
      <c r="I37" s="10"/>
      <c r="J37" s="10"/>
      <c r="K37" s="10"/>
      <c r="L37" s="10"/>
    </row>
    <row r="38" customFormat="false" ht="12.75" hidden="false" customHeight="true" outlineLevel="0" collapsed="false">
      <c r="A38" s="14" t="s">
        <v>30</v>
      </c>
      <c r="B38" s="15" t="s">
        <v>31</v>
      </c>
      <c r="C38" s="15"/>
      <c r="D38" s="15"/>
      <c r="E38" s="15" t="s">
        <v>32</v>
      </c>
      <c r="F38" s="15"/>
      <c r="G38" s="12" t="s">
        <v>33</v>
      </c>
      <c r="H38" s="12"/>
      <c r="I38" s="12"/>
      <c r="J38" s="12"/>
      <c r="K38" s="12"/>
      <c r="L38" s="12"/>
    </row>
    <row r="39" customFormat="false" ht="12.75" hidden="false" customHeight="true" outlineLevel="0" collapsed="false">
      <c r="A39" s="16" t="s">
        <v>34</v>
      </c>
      <c r="B39" s="17" t="s">
        <v>35</v>
      </c>
      <c r="C39" s="17"/>
      <c r="D39" s="17"/>
      <c r="E39" s="17" t="s">
        <v>36</v>
      </c>
      <c r="F39" s="17"/>
      <c r="G39" s="12"/>
      <c r="H39" s="12"/>
      <c r="I39" s="12"/>
      <c r="J39" s="12"/>
      <c r="K39" s="12"/>
      <c r="L39" s="12"/>
    </row>
    <row r="40" customFormat="false" ht="12.75" hidden="false" customHeight="true" outlineLevel="0" collapsed="false">
      <c r="A40" s="16" t="s">
        <v>37</v>
      </c>
      <c r="B40" s="17" t="s">
        <v>38</v>
      </c>
      <c r="C40" s="17"/>
      <c r="D40" s="17"/>
      <c r="E40" s="17" t="s">
        <v>39</v>
      </c>
      <c r="F40" s="17"/>
      <c r="G40" s="12"/>
      <c r="H40" s="12"/>
      <c r="I40" s="12"/>
      <c r="J40" s="12"/>
      <c r="K40" s="12"/>
      <c r="L40" s="12"/>
    </row>
    <row r="41" customFormat="false" ht="12.75" hidden="false" customHeight="true" outlineLevel="0" collapsed="false">
      <c r="A41" s="16" t="s">
        <v>40</v>
      </c>
      <c r="B41" s="17" t="s">
        <v>41</v>
      </c>
      <c r="C41" s="17"/>
      <c r="D41" s="17"/>
      <c r="E41" s="17" t="s">
        <v>42</v>
      </c>
      <c r="F41" s="17"/>
      <c r="G41" s="12"/>
      <c r="H41" s="12"/>
      <c r="I41" s="12"/>
      <c r="J41" s="12"/>
      <c r="K41" s="12"/>
      <c r="L41" s="12"/>
    </row>
    <row r="42" customFormat="false" ht="12.75" hidden="false" customHeight="true" outlineLevel="0" collapsed="false">
      <c r="A42" s="18" t="s">
        <v>43</v>
      </c>
      <c r="B42" s="18"/>
      <c r="C42" s="18"/>
      <c r="D42" s="18"/>
      <c r="E42" s="18"/>
      <c r="F42" s="18"/>
      <c r="G42" s="12"/>
      <c r="H42" s="12"/>
      <c r="I42" s="12"/>
      <c r="J42" s="12"/>
      <c r="K42" s="12"/>
      <c r="L42" s="12"/>
    </row>
    <row r="43" customFormat="false" ht="4.5" hidden="false" customHeight="true" outlineLevel="0" collapsed="false"/>
    <row r="44" customFormat="false" ht="13.5" hidden="false" customHeight="true" outlineLevel="0" collapsed="false">
      <c r="A44" s="10" t="s">
        <v>44</v>
      </c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</row>
    <row r="45" customFormat="false" ht="12" hidden="false" customHeight="true" outlineLevel="0" collapsed="false">
      <c r="A45" s="19" t="s">
        <v>45</v>
      </c>
      <c r="B45" s="19"/>
      <c r="C45" s="19"/>
      <c r="D45" s="20" t="s">
        <v>46</v>
      </c>
      <c r="E45" s="20"/>
      <c r="F45" s="21" t="s">
        <v>47</v>
      </c>
      <c r="G45" s="21"/>
      <c r="H45" s="22" t="s">
        <v>48</v>
      </c>
      <c r="I45" s="22"/>
      <c r="J45" s="23" t="s">
        <v>49</v>
      </c>
      <c r="K45" s="23"/>
      <c r="L45" s="23"/>
    </row>
    <row r="46" customFormat="false" ht="12" hidden="false" customHeight="true" outlineLevel="0" collapsed="false">
      <c r="A46" s="24" t="s">
        <v>50</v>
      </c>
      <c r="B46" s="24"/>
      <c r="C46" s="24"/>
      <c r="D46" s="25" t="s">
        <v>51</v>
      </c>
      <c r="E46" s="25"/>
      <c r="F46" s="26" t="s">
        <v>52</v>
      </c>
      <c r="G46" s="26"/>
      <c r="H46" s="27" t="s">
        <v>52</v>
      </c>
      <c r="I46" s="27"/>
      <c r="J46" s="28" t="s">
        <v>53</v>
      </c>
      <c r="K46" s="28"/>
      <c r="L46" s="28"/>
    </row>
    <row r="47" customFormat="false" ht="4.5" hidden="false" customHeight="true" outlineLevel="0" collapsed="false"/>
    <row r="48" customFormat="false" ht="15" hidden="false" customHeight="true" outlineLevel="0" collapsed="false">
      <c r="A48" s="29" t="s">
        <v>54</v>
      </c>
      <c r="B48" s="29"/>
      <c r="C48" s="29"/>
      <c r="D48" s="29"/>
      <c r="E48" s="29"/>
      <c r="F48" s="29"/>
      <c r="G48" s="30" t="s">
        <v>55</v>
      </c>
      <c r="H48" s="30"/>
      <c r="I48" s="30"/>
      <c r="J48" s="30"/>
      <c r="K48" s="30"/>
      <c r="L48" s="30"/>
    </row>
  </sheetData>
  <mergeCells count="57">
    <mergeCell ref="A1:C3"/>
    <mergeCell ref="D1:H2"/>
    <mergeCell ref="I1:L3"/>
    <mergeCell ref="D3:H3"/>
    <mergeCell ref="A5:E8"/>
    <mergeCell ref="F5:G5"/>
    <mergeCell ref="H5:L8"/>
    <mergeCell ref="F6:G8"/>
    <mergeCell ref="A10:B10"/>
    <mergeCell ref="C10:D10"/>
    <mergeCell ref="E10:F10"/>
    <mergeCell ref="G10:H10"/>
    <mergeCell ref="I10:J10"/>
    <mergeCell ref="K10:L10"/>
    <mergeCell ref="A11:B11"/>
    <mergeCell ref="C11:D11"/>
    <mergeCell ref="E11:F11"/>
    <mergeCell ref="G11:H11"/>
    <mergeCell ref="I11:J11"/>
    <mergeCell ref="K11:L11"/>
    <mergeCell ref="A13:F13"/>
    <mergeCell ref="G13:L13"/>
    <mergeCell ref="A14:F25"/>
    <mergeCell ref="G14:L19"/>
    <mergeCell ref="G20:L20"/>
    <mergeCell ref="G21:L25"/>
    <mergeCell ref="A26:F26"/>
    <mergeCell ref="G26:L26"/>
    <mergeCell ref="A27:F36"/>
    <mergeCell ref="G27:L31"/>
    <mergeCell ref="G32:L32"/>
    <mergeCell ref="G33:L36"/>
    <mergeCell ref="A37:F37"/>
    <mergeCell ref="G37:L37"/>
    <mergeCell ref="B38:D38"/>
    <mergeCell ref="E38:F38"/>
    <mergeCell ref="G38:L42"/>
    <mergeCell ref="B39:D39"/>
    <mergeCell ref="E39:F39"/>
    <mergeCell ref="B40:D40"/>
    <mergeCell ref="E40:F40"/>
    <mergeCell ref="B41:D41"/>
    <mergeCell ref="E41:F41"/>
    <mergeCell ref="A42:F42"/>
    <mergeCell ref="A44:L44"/>
    <mergeCell ref="A45:C45"/>
    <mergeCell ref="D45:E45"/>
    <mergeCell ref="F45:G45"/>
    <mergeCell ref="H45:I45"/>
    <mergeCell ref="J45:L45"/>
    <mergeCell ref="A46:C46"/>
    <mergeCell ref="D46:E46"/>
    <mergeCell ref="F46:G46"/>
    <mergeCell ref="H46:I46"/>
    <mergeCell ref="J46:L46"/>
    <mergeCell ref="A48:F48"/>
    <mergeCell ref="G48:L48"/>
  </mergeCells>
  <printOptions headings="false" gridLines="false" gridLinesSet="true" horizontalCentered="false" verticalCentered="false"/>
  <pageMargins left="0.3" right="0.3" top="0.35" bottom="0.3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15" min="2" style="0" width="8"/>
  </cols>
  <sheetData>
    <row r="1" customFormat="false" ht="15" hidden="false" customHeight="false" outlineLevel="0" collapsed="false">
      <c r="A1" s="31" t="s">
        <v>56</v>
      </c>
    </row>
    <row r="2" customFormat="false" ht="15" hidden="false" customHeight="false" outlineLevel="0" collapsed="false">
      <c r="A2" s="32" t="s">
        <v>57</v>
      </c>
    </row>
    <row r="4" customFormat="false" ht="15" hidden="false" customHeight="false" outlineLevel="0" collapsed="false">
      <c r="A4" s="33" t="s">
        <v>58</v>
      </c>
      <c r="B4" s="34" t="s">
        <v>59</v>
      </c>
      <c r="C4" s="34" t="s">
        <v>60</v>
      </c>
      <c r="D4" s="34" t="s">
        <v>61</v>
      </c>
      <c r="E4" s="34" t="s">
        <v>62</v>
      </c>
      <c r="F4" s="34" t="s">
        <v>63</v>
      </c>
      <c r="G4" s="34" t="s">
        <v>64</v>
      </c>
      <c r="H4" s="34" t="s">
        <v>65</v>
      </c>
      <c r="I4" s="34" t="s">
        <v>66</v>
      </c>
      <c r="J4" s="34" t="s">
        <v>67</v>
      </c>
      <c r="K4" s="34" t="s">
        <v>68</v>
      </c>
      <c r="L4" s="34" t="s">
        <v>69</v>
      </c>
      <c r="M4" s="34" t="s">
        <v>70</v>
      </c>
      <c r="N4" s="34" t="s">
        <v>71</v>
      </c>
      <c r="O4" s="34" t="s">
        <v>72</v>
      </c>
    </row>
    <row r="5" customFormat="false" ht="15" hidden="false" customHeight="false" outlineLevel="0" collapsed="false">
      <c r="A5" s="35" t="s">
        <v>73</v>
      </c>
      <c r="B5" s="36" t="n">
        <v>8</v>
      </c>
      <c r="C5" s="36" t="n">
        <v>0</v>
      </c>
      <c r="D5" s="36" t="n">
        <v>0</v>
      </c>
      <c r="E5" s="36" t="n">
        <v>0</v>
      </c>
      <c r="F5" s="36" t="n">
        <v>0</v>
      </c>
      <c r="G5" s="36" t="n">
        <v>0</v>
      </c>
      <c r="H5" s="36" t="n">
        <v>0</v>
      </c>
      <c r="I5" s="36" t="n">
        <v>0</v>
      </c>
      <c r="J5" s="36" t="n">
        <v>0</v>
      </c>
      <c r="K5" s="36" t="n">
        <v>0</v>
      </c>
      <c r="L5" s="36" t="n">
        <v>0</v>
      </c>
      <c r="M5" s="36" t="n">
        <v>0</v>
      </c>
      <c r="N5" s="36" t="n">
        <v>0</v>
      </c>
      <c r="O5" s="36" t="n">
        <v>0</v>
      </c>
    </row>
    <row r="6" customFormat="false" ht="15" hidden="false" customHeight="false" outlineLevel="0" collapsed="false">
      <c r="A6" s="35" t="s">
        <v>74</v>
      </c>
      <c r="B6" s="36" t="n">
        <v>10</v>
      </c>
      <c r="C6" s="36" t="n">
        <v>10</v>
      </c>
      <c r="D6" s="36" t="n">
        <v>0</v>
      </c>
      <c r="E6" s="36" t="n">
        <v>0</v>
      </c>
      <c r="F6" s="36" t="n">
        <v>0</v>
      </c>
      <c r="G6" s="36" t="n">
        <v>0</v>
      </c>
      <c r="H6" s="36" t="n">
        <v>0</v>
      </c>
      <c r="I6" s="36" t="n">
        <v>0</v>
      </c>
      <c r="J6" s="36" t="n">
        <v>0</v>
      </c>
      <c r="K6" s="36" t="n">
        <v>0</v>
      </c>
      <c r="L6" s="36" t="n">
        <v>0</v>
      </c>
      <c r="M6" s="36" t="n">
        <v>0</v>
      </c>
      <c r="N6" s="36" t="n">
        <v>0</v>
      </c>
      <c r="O6" s="36" t="n">
        <v>0</v>
      </c>
    </row>
    <row r="7" customFormat="false" ht="15" hidden="false" customHeight="false" outlineLevel="0" collapsed="false">
      <c r="A7" s="35" t="s">
        <v>75</v>
      </c>
      <c r="B7" s="36" t="n">
        <v>8</v>
      </c>
      <c r="C7" s="36" t="n">
        <v>8</v>
      </c>
      <c r="D7" s="36" t="n">
        <v>0</v>
      </c>
      <c r="E7" s="36" t="n">
        <v>0</v>
      </c>
      <c r="F7" s="36" t="n">
        <v>0</v>
      </c>
      <c r="G7" s="36" t="n">
        <v>0</v>
      </c>
      <c r="H7" s="36" t="n">
        <v>0</v>
      </c>
      <c r="I7" s="36" t="n">
        <v>0</v>
      </c>
      <c r="J7" s="36" t="n">
        <v>0</v>
      </c>
      <c r="K7" s="36" t="n">
        <v>0</v>
      </c>
      <c r="L7" s="36" t="n">
        <v>0</v>
      </c>
      <c r="M7" s="36" t="n">
        <v>0</v>
      </c>
      <c r="N7" s="36" t="n">
        <v>0</v>
      </c>
      <c r="O7" s="36" t="n">
        <v>0</v>
      </c>
    </row>
    <row r="8" customFormat="false" ht="15" hidden="false" customHeight="false" outlineLevel="0" collapsed="false">
      <c r="A8" s="35" t="s">
        <v>76</v>
      </c>
      <c r="B8" s="36" t="n">
        <v>5</v>
      </c>
      <c r="C8" s="36" t="n">
        <v>5</v>
      </c>
      <c r="D8" s="36" t="n">
        <v>5</v>
      </c>
      <c r="E8" s="36" t="n">
        <v>0</v>
      </c>
      <c r="F8" s="36" t="n">
        <v>0</v>
      </c>
      <c r="G8" s="36" t="n">
        <v>0</v>
      </c>
      <c r="H8" s="36" t="n">
        <v>0</v>
      </c>
      <c r="I8" s="36" t="n">
        <v>0</v>
      </c>
      <c r="J8" s="36" t="n">
        <v>0</v>
      </c>
      <c r="K8" s="36" t="n">
        <v>0</v>
      </c>
      <c r="L8" s="36" t="n">
        <v>0</v>
      </c>
      <c r="M8" s="36" t="n">
        <v>0</v>
      </c>
      <c r="N8" s="36" t="n">
        <v>0</v>
      </c>
      <c r="O8" s="36" t="n">
        <v>0</v>
      </c>
    </row>
    <row r="9" customFormat="false" ht="15" hidden="false" customHeight="false" outlineLevel="0" collapsed="false">
      <c r="A9" s="35" t="s">
        <v>77</v>
      </c>
      <c r="B9" s="36" t="n">
        <v>10</v>
      </c>
      <c r="C9" s="36" t="n">
        <v>10</v>
      </c>
      <c r="D9" s="36" t="n">
        <v>10</v>
      </c>
      <c r="E9" s="36" t="n">
        <v>10</v>
      </c>
      <c r="F9" s="36" t="n">
        <v>0</v>
      </c>
      <c r="G9" s="36" t="n">
        <v>0</v>
      </c>
      <c r="H9" s="36" t="n">
        <v>0</v>
      </c>
      <c r="I9" s="36" t="n">
        <v>0</v>
      </c>
      <c r="J9" s="36" t="n">
        <v>0</v>
      </c>
      <c r="K9" s="36" t="n">
        <v>0</v>
      </c>
      <c r="L9" s="36" t="n">
        <v>0</v>
      </c>
      <c r="M9" s="36" t="n">
        <v>0</v>
      </c>
      <c r="N9" s="36" t="n">
        <v>0</v>
      </c>
      <c r="O9" s="36" t="n">
        <v>0</v>
      </c>
    </row>
    <row r="10" customFormat="false" ht="15" hidden="false" customHeight="false" outlineLevel="0" collapsed="false">
      <c r="A10" s="35" t="s">
        <v>78</v>
      </c>
      <c r="B10" s="36" t="n">
        <v>14</v>
      </c>
      <c r="C10" s="36" t="n">
        <v>14</v>
      </c>
      <c r="D10" s="36" t="n">
        <v>14</v>
      </c>
      <c r="E10" s="36" t="n">
        <v>14</v>
      </c>
      <c r="F10" s="36" t="n">
        <v>14</v>
      </c>
      <c r="G10" s="36" t="n">
        <v>14</v>
      </c>
      <c r="H10" s="36" t="n">
        <v>14</v>
      </c>
      <c r="I10" s="36" t="n">
        <v>0</v>
      </c>
      <c r="J10" s="36" t="n">
        <v>0</v>
      </c>
      <c r="K10" s="36" t="n">
        <v>0</v>
      </c>
      <c r="L10" s="36" t="n">
        <v>0</v>
      </c>
      <c r="M10" s="36" t="n">
        <v>0</v>
      </c>
      <c r="N10" s="36" t="n">
        <v>0</v>
      </c>
      <c r="O10" s="36" t="n">
        <v>0</v>
      </c>
    </row>
    <row r="11" customFormat="false" ht="15" hidden="false" customHeight="false" outlineLevel="0" collapsed="false">
      <c r="A11" s="35" t="s">
        <v>79</v>
      </c>
      <c r="B11" s="36" t="n">
        <v>8</v>
      </c>
      <c r="C11" s="36" t="n">
        <v>8</v>
      </c>
      <c r="D11" s="36" t="n">
        <v>8</v>
      </c>
      <c r="E11" s="36" t="n">
        <v>8</v>
      </c>
      <c r="F11" s="36" t="n">
        <v>8</v>
      </c>
      <c r="G11" s="36" t="n">
        <v>8</v>
      </c>
      <c r="H11" s="36" t="n">
        <v>8</v>
      </c>
      <c r="I11" s="36" t="n">
        <v>8</v>
      </c>
      <c r="J11" s="36" t="n">
        <v>0</v>
      </c>
      <c r="K11" s="36" t="n">
        <v>0</v>
      </c>
      <c r="L11" s="36" t="n">
        <v>0</v>
      </c>
      <c r="M11" s="36" t="n">
        <v>0</v>
      </c>
      <c r="N11" s="36" t="n">
        <v>0</v>
      </c>
      <c r="O11" s="36" t="n">
        <v>0</v>
      </c>
    </row>
    <row r="12" customFormat="false" ht="15" hidden="false" customHeight="false" outlineLevel="0" collapsed="false">
      <c r="A12" s="35" t="s">
        <v>80</v>
      </c>
      <c r="B12" s="36" t="n">
        <v>12</v>
      </c>
      <c r="C12" s="36" t="n">
        <v>12</v>
      </c>
      <c r="D12" s="36" t="n">
        <v>12</v>
      </c>
      <c r="E12" s="36" t="n">
        <v>12</v>
      </c>
      <c r="F12" s="36" t="n">
        <v>12</v>
      </c>
      <c r="G12" s="36" t="n">
        <v>12</v>
      </c>
      <c r="H12" s="36" t="n">
        <v>12</v>
      </c>
      <c r="I12" s="36" t="n">
        <v>12</v>
      </c>
      <c r="J12" s="36" t="n">
        <v>12</v>
      </c>
      <c r="K12" s="36" t="n">
        <v>0</v>
      </c>
      <c r="L12" s="36" t="n">
        <v>0</v>
      </c>
      <c r="M12" s="36" t="n">
        <v>0</v>
      </c>
      <c r="N12" s="36" t="n">
        <v>0</v>
      </c>
      <c r="O12" s="36" t="n">
        <v>0</v>
      </c>
    </row>
    <row r="13" customFormat="false" ht="15" hidden="false" customHeight="false" outlineLevel="0" collapsed="false">
      <c r="A13" s="35" t="s">
        <v>81</v>
      </c>
      <c r="B13" s="36" t="n">
        <v>20</v>
      </c>
      <c r="C13" s="36" t="n">
        <v>20</v>
      </c>
      <c r="D13" s="36" t="n">
        <v>20</v>
      </c>
      <c r="E13" s="36" t="n">
        <v>20</v>
      </c>
      <c r="F13" s="36" t="n">
        <v>20</v>
      </c>
      <c r="G13" s="36" t="n">
        <v>20</v>
      </c>
      <c r="H13" s="36" t="n">
        <v>20</v>
      </c>
      <c r="I13" s="36" t="n">
        <v>20</v>
      </c>
      <c r="J13" s="36" t="n">
        <v>20</v>
      </c>
      <c r="K13" s="36" t="n">
        <v>20</v>
      </c>
      <c r="L13" s="36" t="n">
        <v>0</v>
      </c>
      <c r="M13" s="36" t="n">
        <v>0</v>
      </c>
      <c r="N13" s="36" t="n">
        <v>0</v>
      </c>
      <c r="O13" s="36" t="n">
        <v>0</v>
      </c>
    </row>
    <row r="14" customFormat="false" ht="15" hidden="false" customHeight="false" outlineLevel="0" collapsed="false">
      <c r="A14" s="35" t="s">
        <v>82</v>
      </c>
      <c r="B14" s="36" t="n">
        <v>16</v>
      </c>
      <c r="C14" s="36" t="n">
        <v>16</v>
      </c>
      <c r="D14" s="36" t="n">
        <v>16</v>
      </c>
      <c r="E14" s="36" t="n">
        <v>16</v>
      </c>
      <c r="F14" s="36" t="n">
        <v>16</v>
      </c>
      <c r="G14" s="36" t="n">
        <v>16</v>
      </c>
      <c r="H14" s="36" t="n">
        <v>16</v>
      </c>
      <c r="I14" s="36" t="n">
        <v>16</v>
      </c>
      <c r="J14" s="36" t="n">
        <v>16</v>
      </c>
      <c r="K14" s="36" t="n">
        <v>16</v>
      </c>
      <c r="L14" s="36" t="n">
        <v>16</v>
      </c>
      <c r="M14" s="36" t="n">
        <v>0</v>
      </c>
      <c r="N14" s="36" t="n">
        <v>0</v>
      </c>
      <c r="O14" s="36" t="n">
        <v>0</v>
      </c>
    </row>
    <row r="15" customFormat="false" ht="15" hidden="false" customHeight="false" outlineLevel="0" collapsed="false">
      <c r="A15" s="35" t="s">
        <v>83</v>
      </c>
      <c r="B15" s="36" t="n">
        <v>12</v>
      </c>
      <c r="C15" s="36" t="n">
        <v>12</v>
      </c>
      <c r="D15" s="36" t="n">
        <v>12</v>
      </c>
      <c r="E15" s="36" t="n">
        <v>12</v>
      </c>
      <c r="F15" s="36" t="n">
        <v>12</v>
      </c>
      <c r="G15" s="36" t="n">
        <v>12</v>
      </c>
      <c r="H15" s="36" t="n">
        <v>12</v>
      </c>
      <c r="I15" s="36" t="n">
        <v>12</v>
      </c>
      <c r="J15" s="36" t="n">
        <v>12</v>
      </c>
      <c r="K15" s="36" t="n">
        <v>12</v>
      </c>
      <c r="L15" s="36" t="n">
        <v>12</v>
      </c>
      <c r="M15" s="36" t="n">
        <v>12</v>
      </c>
      <c r="N15" s="36" t="n">
        <v>12</v>
      </c>
      <c r="O15" s="36" t="n">
        <v>0</v>
      </c>
    </row>
    <row r="16" customFormat="false" ht="15" hidden="false" customHeight="false" outlineLevel="0" collapsed="false">
      <c r="A16" s="35" t="s">
        <v>84</v>
      </c>
      <c r="B16" s="36" t="n">
        <v>20</v>
      </c>
      <c r="C16" s="36" t="n">
        <v>20</v>
      </c>
      <c r="D16" s="36" t="n">
        <v>20</v>
      </c>
      <c r="E16" s="36" t="n">
        <v>20</v>
      </c>
      <c r="F16" s="36" t="n">
        <v>20</v>
      </c>
      <c r="G16" s="36" t="n">
        <v>20</v>
      </c>
      <c r="H16" s="36" t="n">
        <v>20</v>
      </c>
      <c r="I16" s="36" t="n">
        <v>20</v>
      </c>
      <c r="J16" s="36" t="n">
        <v>20</v>
      </c>
      <c r="K16" s="36" t="n">
        <v>20</v>
      </c>
      <c r="L16" s="36" t="n">
        <v>20</v>
      </c>
      <c r="M16" s="36" t="n">
        <v>20</v>
      </c>
      <c r="N16" s="36" t="n">
        <v>20</v>
      </c>
      <c r="O16" s="36" t="n">
        <v>20</v>
      </c>
    </row>
    <row r="17" customFormat="false" ht="15" hidden="false" customHeight="false" outlineLevel="0" collapsed="false">
      <c r="A17" s="37" t="s">
        <v>85</v>
      </c>
      <c r="B17" s="38" t="n">
        <f aca="false">SUM(B5:B16)</f>
        <v>143</v>
      </c>
      <c r="C17" s="38" t="n">
        <f aca="false">SUM(C5:C16)</f>
        <v>135</v>
      </c>
      <c r="D17" s="38" t="n">
        <f aca="false">SUM(D5:D16)</f>
        <v>117</v>
      </c>
      <c r="E17" s="38" t="n">
        <f aca="false">SUM(E5:E16)</f>
        <v>112</v>
      </c>
      <c r="F17" s="38" t="n">
        <f aca="false">SUM(F5:F16)</f>
        <v>102</v>
      </c>
      <c r="G17" s="38" t="n">
        <f aca="false">SUM(G5:G16)</f>
        <v>102</v>
      </c>
      <c r="H17" s="38" t="n">
        <f aca="false">SUM(H5:H16)</f>
        <v>102</v>
      </c>
      <c r="I17" s="38" t="n">
        <f aca="false">SUM(I5:I16)</f>
        <v>88</v>
      </c>
      <c r="J17" s="38" t="n">
        <f aca="false">SUM(J5:J16)</f>
        <v>80</v>
      </c>
      <c r="K17" s="38" t="n">
        <f aca="false">SUM(K5:K16)</f>
        <v>68</v>
      </c>
      <c r="L17" s="38" t="n">
        <f aca="false">SUM(L5:L16)</f>
        <v>48</v>
      </c>
      <c r="M17" s="38" t="n">
        <f aca="false">SUM(M5:M16)</f>
        <v>32</v>
      </c>
      <c r="N17" s="38" t="n">
        <f aca="false">SUM(N5:N16)</f>
        <v>32</v>
      </c>
      <c r="O17" s="38" t="n">
        <f aca="false">SUM(O5:O16)</f>
        <v>20</v>
      </c>
    </row>
    <row r="18" customFormat="false" ht="15" hidden="false" customHeight="false" outlineLevel="0" collapsed="false">
      <c r="A18" s="39" t="s">
        <v>86</v>
      </c>
      <c r="B18" s="40" t="n">
        <f aca="false">MAX(0,$B$17-0*$B$17/13)</f>
        <v>143</v>
      </c>
      <c r="C18" s="40" t="n">
        <f aca="false">MAX(0,$B$17-1*$B$17/13)</f>
        <v>132</v>
      </c>
      <c r="D18" s="40" t="n">
        <f aca="false">MAX(0,$B$17-2*$B$17/13)</f>
        <v>121</v>
      </c>
      <c r="E18" s="40" t="n">
        <f aca="false">MAX(0,$B$17-3*$B$17/13)</f>
        <v>110</v>
      </c>
      <c r="F18" s="40" t="n">
        <f aca="false">MAX(0,$B$17-4*$B$17/13)</f>
        <v>99</v>
      </c>
      <c r="G18" s="40" t="n">
        <f aca="false">MAX(0,$B$17-5*$B$17/13)</f>
        <v>88</v>
      </c>
      <c r="H18" s="40" t="n">
        <f aca="false">MAX(0,$B$17-6*$B$17/13)</f>
        <v>77</v>
      </c>
      <c r="I18" s="40" t="n">
        <f aca="false">MAX(0,$B$17-7*$B$17/13)</f>
        <v>66</v>
      </c>
      <c r="J18" s="40" t="n">
        <f aca="false">MAX(0,$B$17-8*$B$17/13)</f>
        <v>55</v>
      </c>
      <c r="K18" s="40" t="n">
        <f aca="false">MAX(0,$B$17-9*$B$17/13)</f>
        <v>44</v>
      </c>
      <c r="L18" s="40" t="n">
        <f aca="false">MAX(0,$B$17-10*$B$17/13)</f>
        <v>33</v>
      </c>
      <c r="M18" s="40" t="n">
        <f aca="false">MAX(0,$B$17-11*$B$17/13)</f>
        <v>22</v>
      </c>
      <c r="N18" s="40" t="n">
        <f aca="false">MAX(0,$B$17-12*$B$17/13)</f>
        <v>11</v>
      </c>
      <c r="O18" s="40" t="n">
        <f aca="false">MAX(0,$B$17-13*$B$17/13)</f>
        <v>0</v>
      </c>
    </row>
    <row r="21" customFormat="false" ht="15" hidden="false" customHeight="false" outlineLevel="0" collapsed="false">
      <c r="A21" s="41" t="s">
        <v>87</v>
      </c>
    </row>
    <row r="22" customFormat="false" ht="15" hidden="false" customHeight="false" outlineLevel="0" collapsed="false">
      <c r="A22" s="33" t="s">
        <v>88</v>
      </c>
      <c r="B22" s="33" t="s">
        <v>89</v>
      </c>
      <c r="C22" s="33" t="s">
        <v>86</v>
      </c>
    </row>
    <row r="23" customFormat="false" ht="15" hidden="false" customHeight="false" outlineLevel="0" collapsed="false">
      <c r="A23" s="35" t="s">
        <v>59</v>
      </c>
      <c r="B23" s="42" t="n">
        <f aca="false">B17</f>
        <v>143</v>
      </c>
      <c r="C23" s="42" t="n">
        <f aca="false">B18</f>
        <v>143</v>
      </c>
    </row>
    <row r="24" customFormat="false" ht="15" hidden="false" customHeight="false" outlineLevel="0" collapsed="false">
      <c r="A24" s="35" t="s">
        <v>60</v>
      </c>
      <c r="B24" s="42" t="n">
        <f aca="false">C17</f>
        <v>135</v>
      </c>
      <c r="C24" s="42" t="n">
        <f aca="false">C18</f>
        <v>132</v>
      </c>
    </row>
    <row r="25" customFormat="false" ht="15" hidden="false" customHeight="false" outlineLevel="0" collapsed="false">
      <c r="A25" s="35" t="s">
        <v>61</v>
      </c>
      <c r="B25" s="42" t="n">
        <f aca="false">D17</f>
        <v>117</v>
      </c>
      <c r="C25" s="42" t="n">
        <f aca="false">D18</f>
        <v>121</v>
      </c>
    </row>
    <row r="26" customFormat="false" ht="15" hidden="false" customHeight="false" outlineLevel="0" collapsed="false">
      <c r="A26" s="35" t="s">
        <v>62</v>
      </c>
      <c r="B26" s="42" t="n">
        <f aca="false">E17</f>
        <v>112</v>
      </c>
      <c r="C26" s="42" t="n">
        <f aca="false">E18</f>
        <v>110</v>
      </c>
    </row>
    <row r="27" customFormat="false" ht="15" hidden="false" customHeight="false" outlineLevel="0" collapsed="false">
      <c r="A27" s="35" t="s">
        <v>63</v>
      </c>
      <c r="B27" s="42" t="n">
        <f aca="false">F17</f>
        <v>102</v>
      </c>
      <c r="C27" s="42" t="n">
        <f aca="false">F18</f>
        <v>99</v>
      </c>
    </row>
    <row r="28" customFormat="false" ht="15" hidden="false" customHeight="false" outlineLevel="0" collapsed="false">
      <c r="A28" s="35" t="s">
        <v>64</v>
      </c>
      <c r="B28" s="42" t="n">
        <f aca="false">G17</f>
        <v>102</v>
      </c>
      <c r="C28" s="42" t="n">
        <f aca="false">G18</f>
        <v>88</v>
      </c>
    </row>
    <row r="29" customFormat="false" ht="15" hidden="false" customHeight="false" outlineLevel="0" collapsed="false">
      <c r="A29" s="35" t="s">
        <v>65</v>
      </c>
      <c r="B29" s="42" t="n">
        <f aca="false">H17</f>
        <v>102</v>
      </c>
      <c r="C29" s="42" t="n">
        <f aca="false">H18</f>
        <v>77</v>
      </c>
    </row>
    <row r="30" customFormat="false" ht="15" hidden="false" customHeight="false" outlineLevel="0" collapsed="false">
      <c r="A30" s="35" t="s">
        <v>66</v>
      </c>
      <c r="B30" s="42" t="n">
        <f aca="false">I17</f>
        <v>88</v>
      </c>
      <c r="C30" s="42" t="n">
        <f aca="false">I18</f>
        <v>66</v>
      </c>
    </row>
    <row r="31" customFormat="false" ht="15" hidden="false" customHeight="false" outlineLevel="0" collapsed="false">
      <c r="A31" s="35" t="s">
        <v>67</v>
      </c>
      <c r="B31" s="42" t="n">
        <f aca="false">J17</f>
        <v>80</v>
      </c>
      <c r="C31" s="42" t="n">
        <f aca="false">J18</f>
        <v>55</v>
      </c>
    </row>
    <row r="32" customFormat="false" ht="15" hidden="false" customHeight="false" outlineLevel="0" collapsed="false">
      <c r="A32" s="35" t="s">
        <v>68</v>
      </c>
      <c r="B32" s="42" t="n">
        <f aca="false">K17</f>
        <v>68</v>
      </c>
      <c r="C32" s="42" t="n">
        <f aca="false">K18</f>
        <v>44</v>
      </c>
    </row>
    <row r="33" customFormat="false" ht="15" hidden="false" customHeight="false" outlineLevel="0" collapsed="false">
      <c r="A33" s="35" t="s">
        <v>69</v>
      </c>
      <c r="B33" s="42" t="n">
        <f aca="false">L17</f>
        <v>48</v>
      </c>
      <c r="C33" s="42" t="n">
        <f aca="false">L18</f>
        <v>33</v>
      </c>
    </row>
    <row r="34" customFormat="false" ht="15" hidden="false" customHeight="false" outlineLevel="0" collapsed="false">
      <c r="A34" s="35" t="s">
        <v>70</v>
      </c>
      <c r="B34" s="42" t="n">
        <f aca="false">M17</f>
        <v>32</v>
      </c>
      <c r="C34" s="42" t="n">
        <f aca="false">M18</f>
        <v>22</v>
      </c>
    </row>
    <row r="35" customFormat="false" ht="15" hidden="false" customHeight="false" outlineLevel="0" collapsed="false">
      <c r="A35" s="35" t="s">
        <v>71</v>
      </c>
      <c r="B35" s="42" t="n">
        <f aca="false">N17</f>
        <v>32</v>
      </c>
      <c r="C35" s="42" t="n">
        <f aca="false">N18</f>
        <v>11</v>
      </c>
    </row>
    <row r="36" customFormat="false" ht="15" hidden="false" customHeight="false" outlineLevel="0" collapsed="false">
      <c r="A36" s="35" t="s">
        <v>72</v>
      </c>
      <c r="B36" s="42" t="n">
        <f aca="false">O17</f>
        <v>20</v>
      </c>
      <c r="C36" s="42" t="n">
        <f aca="false">O18</f>
        <v>0</v>
      </c>
    </row>
    <row r="39" customFormat="false" ht="15" hidden="false" customHeight="false" outlineLevel="0" collapsed="false">
      <c r="A39" s="41" t="s">
        <v>90</v>
      </c>
    </row>
    <row r="40" customFormat="false" ht="22.35" hidden="false" customHeight="false" outlineLevel="0" collapsed="false">
      <c r="A40" s="34" t="s">
        <v>88</v>
      </c>
      <c r="B40" s="34" t="s">
        <v>91</v>
      </c>
      <c r="C40" s="34" t="s">
        <v>92</v>
      </c>
      <c r="D40" s="34" t="s">
        <v>93</v>
      </c>
    </row>
    <row r="41" customFormat="false" ht="15" hidden="false" customHeight="false" outlineLevel="0" collapsed="false">
      <c r="A41" s="43" t="s">
        <v>94</v>
      </c>
      <c r="B41" s="43" t="n">
        <v>5</v>
      </c>
      <c r="C41" s="43" t="n">
        <v>5.3</v>
      </c>
      <c r="D41" s="43" t="n">
        <v>5.3</v>
      </c>
    </row>
    <row r="42" customFormat="false" ht="15" hidden="false" customHeight="false" outlineLevel="0" collapsed="false">
      <c r="A42" s="43" t="s">
        <v>95</v>
      </c>
      <c r="B42" s="43" t="n">
        <v>4.7</v>
      </c>
      <c r="C42" s="43" t="n">
        <v>5</v>
      </c>
      <c r="D42" s="43" t="n">
        <v>5.3</v>
      </c>
    </row>
    <row r="43" customFormat="false" ht="15" hidden="false" customHeight="false" outlineLevel="0" collapsed="false">
      <c r="A43" s="43" t="s">
        <v>96</v>
      </c>
      <c r="B43" s="43" t="n">
        <v>2.7</v>
      </c>
      <c r="C43" s="43" t="n">
        <v>2.7</v>
      </c>
      <c r="D43" s="43" t="n">
        <v>3</v>
      </c>
    </row>
    <row r="44" customFormat="false" ht="15" hidden="false" customHeight="false" outlineLevel="0" collapsed="false">
      <c r="A44" s="43" t="s">
        <v>97</v>
      </c>
      <c r="B44" s="43" t="n">
        <v>4</v>
      </c>
      <c r="C44" s="43" t="n">
        <v>3.7</v>
      </c>
      <c r="D44" s="43" t="n">
        <v>4.3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95"/>
  </cols>
  <sheetData>
    <row r="1" customFormat="false" ht="15.75" hidden="false" customHeight="true" outlineLevel="0" collapsed="false">
      <c r="A1" s="44" t="s">
        <v>98</v>
      </c>
      <c r="B1" s="45"/>
    </row>
    <row r="2" customFormat="false" ht="15.75" hidden="false" customHeight="true" outlineLevel="0" collapsed="false">
      <c r="A2" s="46"/>
      <c r="B2" s="45"/>
    </row>
    <row r="3" customFormat="false" ht="15.75" hidden="false" customHeight="true" outlineLevel="0" collapsed="false">
      <c r="A3" s="47" t="s">
        <v>99</v>
      </c>
      <c r="B3" s="48" t="s">
        <v>100</v>
      </c>
    </row>
    <row r="4" customFormat="false" ht="27.75" hidden="false" customHeight="true" outlineLevel="0" collapsed="false">
      <c r="A4" s="46" t="s">
        <v>101</v>
      </c>
      <c r="B4" s="45" t="s">
        <v>102</v>
      </c>
    </row>
    <row r="5" customFormat="false" ht="27.75" hidden="false" customHeight="true" outlineLevel="0" collapsed="false">
      <c r="A5" s="46" t="s">
        <v>103</v>
      </c>
      <c r="B5" s="45" t="s">
        <v>104</v>
      </c>
    </row>
    <row r="6" customFormat="false" ht="27.75" hidden="false" customHeight="true" outlineLevel="0" collapsed="false">
      <c r="A6" s="46" t="s">
        <v>105</v>
      </c>
      <c r="B6" s="45" t="s">
        <v>106</v>
      </c>
    </row>
    <row r="7" customFormat="false" ht="27.75" hidden="false" customHeight="true" outlineLevel="0" collapsed="false">
      <c r="A7" s="46" t="s">
        <v>107</v>
      </c>
      <c r="B7" s="45" t="s">
        <v>108</v>
      </c>
    </row>
    <row r="8" customFormat="false" ht="27.75" hidden="false" customHeight="true" outlineLevel="0" collapsed="false">
      <c r="A8" s="46" t="s">
        <v>109</v>
      </c>
      <c r="B8" s="45" t="s">
        <v>110</v>
      </c>
    </row>
    <row r="9" customFormat="false" ht="27.75" hidden="false" customHeight="true" outlineLevel="0" collapsed="false">
      <c r="A9" s="46" t="s">
        <v>111</v>
      </c>
      <c r="B9" s="45" t="s">
        <v>112</v>
      </c>
    </row>
    <row r="10" customFormat="false" ht="27.75" hidden="false" customHeight="true" outlineLevel="0" collapsed="false">
      <c r="A10" s="46" t="s">
        <v>113</v>
      </c>
      <c r="B10" s="45" t="s">
        <v>114</v>
      </c>
    </row>
    <row r="11" customFormat="false" ht="27.75" hidden="false" customHeight="true" outlineLevel="0" collapsed="false">
      <c r="A11" s="46" t="s">
        <v>115</v>
      </c>
      <c r="B11" s="45" t="s">
        <v>116</v>
      </c>
    </row>
    <row r="12" customFormat="false" ht="27.75" hidden="false" customHeight="true" outlineLevel="0" collapsed="false">
      <c r="A12" s="46"/>
      <c r="B12" s="45"/>
    </row>
    <row r="13" customFormat="false" ht="27.75" hidden="false" customHeight="true" outlineLevel="0" collapsed="false">
      <c r="A13" s="46" t="s">
        <v>117</v>
      </c>
      <c r="B13" s="45" t="s">
        <v>118</v>
      </c>
    </row>
    <row r="14" customFormat="false" ht="27.75" hidden="false" customHeight="true" outlineLevel="0" collapsed="false">
      <c r="A14" s="46" t="s">
        <v>119</v>
      </c>
      <c r="B14" s="45" t="s">
        <v>120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2026-08-30T16:59:04Z</dcterms:created>
  <dc:creator>openpyxl</dc:creator>
  <dc:description/>
  <dc:language>en-US</dc:language>
  <cp:lastModifiedBy/>
  <dcterms:modified xsi:type="dcterms:W3CDTF">2026-08-30T16:59:06Z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