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Sprint 1" sheetId="1" state="visible" r:id="rId1"/>
    <sheet xmlns:r="http://schemas.openxmlformats.org/officeDocument/2006/relationships" name="Team-Management-Barometer" sheetId="2" state="visible" r:id="rId2"/>
    <sheet xmlns:r="http://schemas.openxmlformats.org/officeDocument/2006/relationships" name="Weiches Kriteri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"/>
    <numFmt numFmtId="166" formatCode="DD.MM.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166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1 – Burndown-Chart</a:t>
            </a:r>
          </a:p>
        </rich>
      </tx>
    </title>
    <plotArea>
      <barChart>
        <barDir val="col"/>
        <grouping val="stacked"/>
        <ser>
          <idx val="0"/>
          <order val="0"/>
          <tx>
            <v>Versuchsmaterial beschaffen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1'!$C$4:$P$4</f>
            </numRef>
          </val>
        </ser>
        <ser>
          <idx val="1"/>
          <order val="1"/>
          <tx>
            <v>Ablaufplan erstellen &amp; einreichen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1'!$C$5:$P$5</f>
            </numRef>
          </val>
        </ser>
        <ser>
          <idx val="2"/>
          <order val="2"/>
          <tx>
            <v>Projektauftrag erstellen &amp; unterschreiben lassen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1'!$C$6:$P$6</f>
            </numRef>
          </val>
        </ser>
        <ser>
          <idx val="3"/>
          <order val="3"/>
          <tx>
            <v>Fachbuch Fritz/Schulze beschaffen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1'!$C$7:$P$7</f>
            </numRef>
          </val>
        </ser>
        <ser>
          <idx val="4"/>
          <order val="4"/>
          <tx>
            <v>Formkästen vermessen &amp; dokumentieren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1'!$C$8:$P$8</f>
            </numRef>
          </val>
        </ser>
        <ser>
          <idx val="5"/>
          <order val="5"/>
          <tx>
            <v>Abstimmungstermin Prof. Pähler (Bauteilfreigabe + offene Fragen)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1'!$C$9:$P$9</f>
            </numRef>
          </val>
        </ser>
        <ser>
          <idx val="6"/>
          <order val="6"/>
          <tx>
            <v>Arbeitssicherheit &amp; Versicherung bei Göpfert AG klären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1'!$C$10:$P$10</f>
            </numRef>
          </val>
        </ser>
        <ser>
          <idx val="7"/>
          <order val="7"/>
          <tx>
            <v>Nabertherm-Ofen dokumentieren, Aufheizkurve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1'!$C$11:$P$11</f>
            </numRef>
          </val>
        </ser>
        <ser>
          <idx val="8"/>
          <order val="8"/>
          <tx>
            <v>Sandrezeptur bestimmen (Vogelsand + Speiseöl)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1'!$C$12:$P$12</f>
            </numRef>
          </val>
        </ser>
        <ser>
          <idx val="9"/>
          <order val="9"/>
          <tx>
            <v>Gieß-Arbeitsplatz und Ablaufkonzept der Versuchstage bei Göpfert einrichten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1'!$C$13:$P$13</f>
            </numRef>
          </val>
        </ser>
        <ser>
          <idx val="10"/>
          <order val="10"/>
          <tx>
            <v>Ausstattung Göpfert ↔ FTT-Labor gegenüberstellen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1'!$C$14:$P$14</f>
            </numRef>
          </val>
        </ser>
        <ser>
          <idx val="11"/>
          <order val="11"/>
          <tx>
            <v>Parametrisches CAD-Modell (Bauteil, Kern, Kernkasten, Modell)</v>
          </tx>
          <spPr>
            <a:ln xmlns:a="http://schemas.openxmlformats.org/drawingml/2006/main">
              <a:prstDash val="solid"/>
            </a:ln>
          </spPr>
          <cat>
            <numRef>
              <f>'Burndown Sprint 1'!$C$3:$P$3</f>
            </numRef>
          </cat>
          <val>
            <numRef>
              <f>'Burndown Sprint 1'!$C$15:$P$15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Arbeitsaufwand der Arbeitspakete [h]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Team-Management-Barometer – Sprint 1</a:t>
            </a:r>
          </a:p>
        </rich>
      </tx>
    </title>
    <plotArea>
      <scatterChart>
        <ser>
          <idx val="0"/>
          <order val="0"/>
          <tx>
            <v>Teammotivation</v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'Team-Management-Barometer'!$B$3:$D$3</f>
            </numRef>
          </xVal>
          <yVal>
            <numRef>
              <f>'Team-Management-Barometer'!$B$4:$D$4</f>
            </numRef>
          </yVal>
        </ser>
        <ser>
          <idx val="1"/>
          <order val="1"/>
          <tx>
            <v>Zielausrichtung</v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'Team-Management-Barometer'!$B$3:$D$3</f>
            </numRef>
          </xVal>
          <yVal>
            <numRef>
              <f>'Team-Management-Barometer'!$B$5:$D$5</f>
            </numRef>
          </yVal>
        </ser>
        <ser>
          <idx val="2"/>
          <order val="2"/>
          <tx>
            <v>Auftraggebereinbindung</v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'Team-Management-Barometer'!$B$3:$D$3</f>
            </numRef>
          </xVal>
          <yVal>
            <numRef>
              <f>'Team-Management-Barometer'!$B$6:$D$6</f>
            </numRef>
          </yVal>
        </ser>
        <ser>
          <idx val="3"/>
          <order val="3"/>
          <tx>
            <v>Arbeitsfortschritt</v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'Team-Management-Barometer'!$B$3:$D$3</f>
            </numRef>
          </xVal>
          <yVal>
            <numRef>
              <f>'Team-Management-Barometer'!$B$7:$D$7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Erhebungstermin</a:t>
                </a:r>
              </a:p>
            </rich>
          </tx>
        </title>
        <numFmt formatCode="dd.mm.yyyy" sourceLinked="0"/>
        <majorTickMark val="none"/>
        <minorTickMark val="none"/>
        <crossAx val="20"/>
      </valAx>
      <valAx>
        <axId val="20"/>
        <scaling>
          <orientation val="minMax"/>
          <max val="6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Mittelwert (Skala 1-6)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Weiches Kriterium Kommunikation – Sprint 1</a:t>
            </a:r>
          </a:p>
        </rich>
      </tx>
    </title>
    <plotArea>
      <lineChart>
        <grouping val="standard"/>
        <ser>
          <idx val="0"/>
          <order val="0"/>
          <tx>
            <strRef>
              <f>'Weiches Kriterium'!B3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'Weiches Kriterium'!$A$4:$A$7</f>
            </numRef>
          </cat>
          <val>
            <numRef>
              <f>'Weiches Kriterium'!$B$4:$B$7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Kommunikationsereignisse in den letzten 7 Tagen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Sprint 1 – Burndown (Stunden je Aufgabe, verbleibend pro Tag)</t>
        </is>
      </c>
    </row>
    <row r="3">
      <c r="A3" s="2" t="inlineStr">
        <is>
          <t>Aufgabe</t>
        </is>
      </c>
      <c r="B3" s="2" t="inlineStr">
        <is>
          <t>Aufwand [h]</t>
        </is>
      </c>
      <c r="C3" s="3" t="n">
        <v>46244</v>
      </c>
      <c r="D3" s="3" t="n">
        <v>46245</v>
      </c>
      <c r="E3" s="3" t="n">
        <v>46246</v>
      </c>
      <c r="F3" s="3" t="n">
        <v>46247</v>
      </c>
      <c r="G3" s="3" t="n">
        <v>46248</v>
      </c>
      <c r="H3" s="3" t="n">
        <v>46249</v>
      </c>
      <c r="I3" s="3" t="n">
        <v>46250</v>
      </c>
      <c r="J3" s="3" t="n">
        <v>46251</v>
      </c>
      <c r="K3" s="3" t="n">
        <v>46252</v>
      </c>
      <c r="L3" s="3" t="n">
        <v>46253</v>
      </c>
      <c r="M3" s="3" t="n">
        <v>46254</v>
      </c>
      <c r="N3" s="3" t="n">
        <v>46255</v>
      </c>
      <c r="O3" s="3" t="n">
        <v>46256</v>
      </c>
      <c r="P3" s="3" t="n">
        <v>46257</v>
      </c>
    </row>
    <row r="4">
      <c r="A4" s="4" t="inlineStr">
        <is>
          <t>Versuchsmaterial beschaffen</t>
        </is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4" t="inlineStr">
        <is>
          <t>Ablaufplan erstellen &amp; einreichen</t>
        </is>
      </c>
      <c r="B5" t="n">
        <v>8</v>
      </c>
      <c r="C5" t="n">
        <v>8</v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4" t="inlineStr">
        <is>
          <t>Projektauftrag erstellen &amp; unterschreiben lassen</t>
        </is>
      </c>
      <c r="B6" t="n">
        <v>10</v>
      </c>
      <c r="C6" t="n">
        <v>10</v>
      </c>
      <c r="D6" t="n">
        <v>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4" t="inlineStr">
        <is>
          <t>Fachbuch Fritz/Schulze beschaffen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4" t="inlineStr">
        <is>
          <t>Formkästen vermessen &amp; dokumentieren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4" t="inlineStr">
        <is>
          <t>Abstimmungstermin Prof. Pähler (Bauteilfreigabe + offene Fragen)</t>
        </is>
      </c>
      <c r="B9" t="n">
        <v>14</v>
      </c>
      <c r="C9" t="n">
        <v>14</v>
      </c>
      <c r="D9" t="n">
        <v>14</v>
      </c>
      <c r="E9" t="n">
        <v>14</v>
      </c>
      <c r="F9" t="n">
        <v>14</v>
      </c>
      <c r="G9" t="n">
        <v>14</v>
      </c>
      <c r="H9" t="n">
        <v>14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4" t="inlineStr">
        <is>
          <t>Arbeitssicherheit &amp; Versicherung bei Göpfert AG klären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4" t="inlineStr">
        <is>
          <t>Nabertherm-Ofen dokumentieren, Aufheizkurve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4" t="inlineStr">
        <is>
          <t>Sandrezeptur bestimmen (Vogelsand + Speiseöl)</t>
        </is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0</v>
      </c>
      <c r="N12" t="n">
        <v>0</v>
      </c>
      <c r="O12" t="n">
        <v>0</v>
      </c>
      <c r="P12" t="n">
        <v>0</v>
      </c>
    </row>
    <row r="13">
      <c r="A13" s="4" t="inlineStr">
        <is>
          <t>Gieß-Arbeitsplatz und Ablaufkonzept der Versuchstage bei Göpfert einrichten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0</v>
      </c>
      <c r="O13" t="n">
        <v>0</v>
      </c>
      <c r="P13" t="n">
        <v>0</v>
      </c>
    </row>
    <row r="14">
      <c r="A14" s="4" t="inlineStr">
        <is>
          <t>Ausstattung Göpfert ↔ FTT-Labor gegenüberstellen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  <c r="N14" t="n">
        <v>12</v>
      </c>
      <c r="O14" t="n">
        <v>12</v>
      </c>
      <c r="P14" t="n">
        <v>0</v>
      </c>
    </row>
    <row r="15">
      <c r="A15" s="4" t="inlineStr">
        <is>
          <t>Parametrisches CAD-Modell (Bauteil, Kern, Kernkasten, Modell)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20</v>
      </c>
      <c r="K15" t="n">
        <v>20</v>
      </c>
      <c r="L15" t="n">
        <v>20</v>
      </c>
      <c r="M15" t="n">
        <v>20</v>
      </c>
      <c r="N15" t="n">
        <v>20</v>
      </c>
      <c r="O15" t="n">
        <v>20</v>
      </c>
      <c r="P15" t="n">
        <v>20</v>
      </c>
    </row>
    <row r="16">
      <c r="A16" s="2" t="inlineStr">
        <is>
          <t>Restaufwand ist [h]</t>
        </is>
      </c>
      <c r="C16" s="2">
        <f>SUM(C4:C15)</f>
        <v/>
      </c>
      <c r="D16" s="2">
        <f>SUM(D4:D15)</f>
        <v/>
      </c>
      <c r="E16" s="2">
        <f>SUM(E4:E15)</f>
        <v/>
      </c>
      <c r="F16" s="2">
        <f>SUM(F4:F15)</f>
        <v/>
      </c>
      <c r="G16" s="2">
        <f>SUM(G4:G15)</f>
        <v/>
      </c>
      <c r="H16" s="2">
        <f>SUM(H4:H15)</f>
        <v/>
      </c>
      <c r="I16" s="2">
        <f>SUM(I4:I15)</f>
        <v/>
      </c>
      <c r="J16" s="2">
        <f>SUM(J4:J15)</f>
        <v/>
      </c>
      <c r="K16" s="2">
        <f>SUM(K4:K15)</f>
        <v/>
      </c>
      <c r="L16" s="2">
        <f>SUM(L4:L15)</f>
        <v/>
      </c>
      <c r="M16" s="2">
        <f>SUM(M4:M15)</f>
        <v/>
      </c>
      <c r="N16" s="2">
        <f>SUM(N4:N15)</f>
        <v/>
      </c>
      <c r="O16" s="2">
        <f>SUM(O4:O15)</f>
        <v/>
      </c>
      <c r="P16" s="2">
        <f>SUM(P4:P15)</f>
        <v/>
      </c>
    </row>
    <row r="17">
      <c r="A17" s="5" t="inlineStr">
        <is>
          <t>Idealline [h]</t>
        </is>
      </c>
      <c r="C17" t="n">
        <v>128.7</v>
      </c>
      <c r="D17" t="n">
        <v>114.4</v>
      </c>
      <c r="E17" t="n">
        <v>100.1</v>
      </c>
      <c r="F17" t="n">
        <v>85.8</v>
      </c>
      <c r="G17" t="n">
        <v>71.5</v>
      </c>
      <c r="H17" t="n">
        <v>71.5</v>
      </c>
      <c r="I17" t="n">
        <v>71.5</v>
      </c>
      <c r="J17" t="n">
        <v>57.2</v>
      </c>
      <c r="K17" t="n">
        <v>42.9</v>
      </c>
      <c r="L17" t="n">
        <v>28.6</v>
      </c>
      <c r="M17" t="n">
        <v>14.3</v>
      </c>
      <c r="N17" t="n">
        <v>0</v>
      </c>
      <c r="O17" t="n">
        <v>0</v>
      </c>
      <c r="P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Team-Management-Barometer – Sprint 1 (Skala 1–6, nur Mittelwerte)</t>
        </is>
      </c>
    </row>
    <row r="3">
      <c r="A3" s="2" t="inlineStr">
        <is>
          <t>Kriterium</t>
        </is>
      </c>
      <c r="B3" s="6" t="n">
        <v>46244</v>
      </c>
      <c r="C3" s="6" t="n">
        <v>46251</v>
      </c>
      <c r="D3" s="6" t="n">
        <v>46255</v>
      </c>
    </row>
    <row r="4">
      <c r="A4" t="inlineStr">
        <is>
          <t>Teammotivation</t>
        </is>
      </c>
      <c r="B4" t="n">
        <v>5</v>
      </c>
      <c r="C4" t="n">
        <v>5.3</v>
      </c>
      <c r="D4" t="n">
        <v>5.3</v>
      </c>
    </row>
    <row r="5">
      <c r="A5" t="inlineStr">
        <is>
          <t>Zielausrichtung</t>
        </is>
      </c>
      <c r="B5" t="n">
        <v>4.7</v>
      </c>
      <c r="C5" t="n">
        <v>5</v>
      </c>
      <c r="D5" t="n">
        <v>5.3</v>
      </c>
    </row>
    <row r="6">
      <c r="A6" t="inlineStr">
        <is>
          <t>Auftraggebereinbindung</t>
        </is>
      </c>
      <c r="B6" t="n">
        <v>2.7</v>
      </c>
      <c r="C6" t="n">
        <v>2.7</v>
      </c>
      <c r="D6" t="n">
        <v>3</v>
      </c>
    </row>
    <row r="7">
      <c r="A7" t="inlineStr">
        <is>
          <t>Arbeitsfortschritt</t>
        </is>
      </c>
      <c r="B7" t="n">
        <v>4</v>
      </c>
      <c r="C7" t="n">
        <v>3.7</v>
      </c>
      <c r="D7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Weiches Kriterium: Kommunikation im Team – Sprint 1</t>
        </is>
      </c>
    </row>
    <row r="3">
      <c r="A3" s="2" t="inlineStr">
        <is>
          <t>Datum</t>
        </is>
      </c>
      <c r="B3" s="2" t="inlineStr">
        <is>
          <t>Kommunikationsereignisse (letzte 7 Tage)</t>
        </is>
      </c>
      <c r="D3" s="2" t="inlineStr">
        <is>
          <t>Schwellen</t>
        </is>
      </c>
    </row>
    <row r="4">
      <c r="A4" s="7" t="n">
        <v>46244</v>
      </c>
      <c r="B4" t="n">
        <v>11</v>
      </c>
      <c r="D4" t="inlineStr">
        <is>
          <t>Grün ab</t>
        </is>
      </c>
      <c r="E4" t="n">
        <v>8</v>
      </c>
    </row>
    <row r="5">
      <c r="A5" s="7" t="n">
        <v>46248</v>
      </c>
      <c r="B5" t="n">
        <v>9</v>
      </c>
      <c r="D5" t="inlineStr">
        <is>
          <t>Gelb ab</t>
        </is>
      </c>
      <c r="E5" t="n">
        <v>5</v>
      </c>
    </row>
    <row r="6">
      <c r="A6" s="7" t="n">
        <v>46251</v>
      </c>
      <c r="B6" t="n">
        <v>12</v>
      </c>
      <c r="D6" t="inlineStr">
        <is>
          <t>Rot unter</t>
        </is>
      </c>
      <c r="E6" t="n">
        <v>5</v>
      </c>
    </row>
    <row r="7">
      <c r="A7" s="7" t="n">
        <v>46255</v>
      </c>
      <c r="B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2026-09-13T12:31:54Z</dcterms:created>
  <dcterms:modified xmlns:dcterms="http://purl.org/dc/terms/" xmlns:xsi="http://www.w3.org/2001/XMLSchema-instance" xsi:type="dcterms:W3CDTF">2026-09-13T12:31:54Z</dcterms:modified>
</cp:coreProperties>
</file>